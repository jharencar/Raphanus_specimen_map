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harencar/Documents/Github/Raphanus_specimen_map/"/>
    </mc:Choice>
  </mc:AlternateContent>
  <xr:revisionPtr revIDLastSave="0" documentId="13_ncr:1_{484C4B3A-6EF8-9E4F-ACA4-BA91D7D6510D}" xr6:coauthVersionLast="47" xr6:coauthVersionMax="47" xr10:uidLastSave="{00000000-0000-0000-0000-000000000000}"/>
  <bookViews>
    <workbookView minimized="1" xWindow="9160" yWindow="940" windowWidth="24880" windowHeight="21040" xr2:uid="{59CCD6E0-5E37-3149-8A85-F11A3FFD497A}"/>
  </bookViews>
  <sheets>
    <sheet name="plan" sheetId="1" r:id="rId1"/>
    <sheet name="meta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7" i="1" l="1"/>
  <c r="F157" i="1"/>
  <c r="G157" i="1"/>
  <c r="D186" i="1"/>
  <c r="D187" i="1"/>
  <c r="D188" i="1"/>
  <c r="D189" i="1"/>
  <c r="D190" i="1"/>
  <c r="D181" i="1"/>
  <c r="D182" i="1"/>
  <c r="D183" i="1"/>
  <c r="D184" i="1"/>
  <c r="D185" i="1"/>
  <c r="N184" i="1"/>
  <c r="G184" i="1"/>
  <c r="F184" i="1"/>
  <c r="N183" i="1"/>
  <c r="G183" i="1"/>
  <c r="F183" i="1"/>
  <c r="N182" i="1"/>
  <c r="G182" i="1"/>
  <c r="F182" i="1"/>
  <c r="N181" i="1"/>
  <c r="G181" i="1"/>
  <c r="F181" i="1"/>
  <c r="N185" i="1"/>
  <c r="G185" i="1"/>
  <c r="F185" i="1"/>
  <c r="N190" i="1"/>
  <c r="G190" i="1"/>
  <c r="F190" i="1"/>
  <c r="N189" i="1"/>
  <c r="G189" i="1"/>
  <c r="F189" i="1"/>
  <c r="N188" i="1"/>
  <c r="G188" i="1"/>
  <c r="F188" i="1"/>
  <c r="N187" i="1"/>
  <c r="G187" i="1"/>
  <c r="F187" i="1"/>
  <c r="D312" i="1"/>
  <c r="F312" i="1"/>
  <c r="G312" i="1"/>
  <c r="N312" i="1"/>
  <c r="D313" i="1"/>
  <c r="F313" i="1"/>
  <c r="G313" i="1"/>
  <c r="N313" i="1"/>
  <c r="D309" i="1"/>
  <c r="N97" i="1" l="1"/>
  <c r="G97" i="1"/>
  <c r="F97" i="1"/>
  <c r="D97" i="1"/>
  <c r="N96" i="1"/>
  <c r="G96" i="1"/>
  <c r="F96" i="1"/>
  <c r="D96" i="1"/>
  <c r="N95" i="1"/>
  <c r="G95" i="1"/>
  <c r="F95" i="1"/>
  <c r="D95" i="1"/>
  <c r="N94" i="1"/>
  <c r="G94" i="1"/>
  <c r="F94" i="1"/>
  <c r="D94" i="1"/>
  <c r="N99" i="1"/>
  <c r="G99" i="1"/>
  <c r="F99" i="1"/>
  <c r="D99" i="1"/>
  <c r="N98" i="1"/>
  <c r="G98" i="1"/>
  <c r="F98" i="1"/>
  <c r="D98" i="1"/>
  <c r="N100" i="1"/>
  <c r="G100" i="1"/>
  <c r="F100" i="1"/>
  <c r="D100" i="1"/>
  <c r="N105" i="1"/>
  <c r="G105" i="1"/>
  <c r="F105" i="1"/>
  <c r="D105" i="1"/>
  <c r="N104" i="1"/>
  <c r="G104" i="1"/>
  <c r="F104" i="1"/>
  <c r="D104" i="1"/>
  <c r="N103" i="1"/>
  <c r="G103" i="1"/>
  <c r="F103" i="1"/>
  <c r="D103" i="1"/>
  <c r="N102" i="1"/>
  <c r="G102" i="1"/>
  <c r="F102" i="1"/>
  <c r="D102" i="1"/>
  <c r="N106" i="1"/>
  <c r="G106" i="1"/>
  <c r="F106" i="1"/>
  <c r="D106" i="1"/>
  <c r="N288" i="1"/>
  <c r="G288" i="1"/>
  <c r="F288" i="1"/>
  <c r="D288" i="1"/>
  <c r="N287" i="1"/>
  <c r="G287" i="1"/>
  <c r="F287" i="1"/>
  <c r="D287" i="1"/>
  <c r="N289" i="1"/>
  <c r="G289" i="1"/>
  <c r="F289" i="1"/>
  <c r="D289" i="1"/>
  <c r="D290" i="1"/>
  <c r="F290" i="1"/>
  <c r="G290" i="1"/>
  <c r="N290" i="1"/>
  <c r="N286" i="1"/>
  <c r="G286" i="1"/>
  <c r="F286" i="1"/>
  <c r="D286" i="1"/>
  <c r="N285" i="1"/>
  <c r="G285" i="1"/>
  <c r="F285" i="1"/>
  <c r="D285" i="1"/>
  <c r="N294" i="1"/>
  <c r="G294" i="1"/>
  <c r="F294" i="1"/>
  <c r="D294" i="1"/>
  <c r="N293" i="1"/>
  <c r="G293" i="1"/>
  <c r="F293" i="1"/>
  <c r="D293" i="1"/>
  <c r="N292" i="1"/>
  <c r="G292" i="1"/>
  <c r="F292" i="1"/>
  <c r="D292" i="1"/>
  <c r="N291" i="1"/>
  <c r="G291" i="1"/>
  <c r="F291" i="1"/>
  <c r="D291" i="1"/>
  <c r="N295" i="1"/>
  <c r="G295" i="1"/>
  <c r="F295" i="1"/>
  <c r="D295" i="1"/>
  <c r="N296" i="1"/>
  <c r="G296" i="1"/>
  <c r="F296" i="1"/>
  <c r="D296" i="1"/>
  <c r="N297" i="1"/>
  <c r="G297" i="1"/>
  <c r="F297" i="1"/>
  <c r="D297" i="1"/>
  <c r="N302" i="1"/>
  <c r="G302" i="1"/>
  <c r="F302" i="1"/>
  <c r="D302" i="1"/>
  <c r="N301" i="1"/>
  <c r="G301" i="1"/>
  <c r="F301" i="1"/>
  <c r="D301" i="1"/>
  <c r="N300" i="1"/>
  <c r="G300" i="1"/>
  <c r="F300" i="1"/>
  <c r="D300" i="1"/>
  <c r="N299" i="1"/>
  <c r="G299" i="1"/>
  <c r="F299" i="1"/>
  <c r="D299" i="1"/>
  <c r="N272" i="1"/>
  <c r="G272" i="1"/>
  <c r="F272" i="1"/>
  <c r="D272" i="1"/>
  <c r="N271" i="1"/>
  <c r="G271" i="1"/>
  <c r="F271" i="1"/>
  <c r="D271" i="1"/>
  <c r="N273" i="1"/>
  <c r="G273" i="1"/>
  <c r="F273" i="1"/>
  <c r="D273" i="1"/>
  <c r="N277" i="1"/>
  <c r="G277" i="1"/>
  <c r="F277" i="1"/>
  <c r="D277" i="1"/>
  <c r="N276" i="1"/>
  <c r="G276" i="1"/>
  <c r="F276" i="1"/>
  <c r="D276" i="1"/>
  <c r="N275" i="1"/>
  <c r="G275" i="1"/>
  <c r="F275" i="1"/>
  <c r="D275" i="1"/>
  <c r="N267" i="1"/>
  <c r="G267" i="1"/>
  <c r="F267" i="1"/>
  <c r="D267" i="1"/>
  <c r="N266" i="1"/>
  <c r="G266" i="1"/>
  <c r="F266" i="1"/>
  <c r="D266" i="1"/>
  <c r="N265" i="1"/>
  <c r="G265" i="1"/>
  <c r="F265" i="1"/>
  <c r="D265" i="1"/>
  <c r="N264" i="1"/>
  <c r="G264" i="1"/>
  <c r="F264" i="1"/>
  <c r="D264" i="1"/>
  <c r="N268" i="1"/>
  <c r="G268" i="1"/>
  <c r="F268" i="1"/>
  <c r="D268" i="1"/>
  <c r="N258" i="1"/>
  <c r="G258" i="1"/>
  <c r="F258" i="1"/>
  <c r="D258" i="1"/>
  <c r="N257" i="1"/>
  <c r="G257" i="1"/>
  <c r="F257" i="1"/>
  <c r="D257" i="1"/>
  <c r="N259" i="1"/>
  <c r="G259" i="1"/>
  <c r="F259" i="1"/>
  <c r="D259" i="1"/>
  <c r="D208" i="1"/>
  <c r="F208" i="1"/>
  <c r="G208" i="1"/>
  <c r="N208" i="1"/>
  <c r="D209" i="1"/>
  <c r="F209" i="1"/>
  <c r="G209" i="1"/>
  <c r="N209" i="1"/>
  <c r="D228" i="1"/>
  <c r="F228" i="1"/>
  <c r="G228" i="1"/>
  <c r="N228" i="1"/>
  <c r="D229" i="1"/>
  <c r="F229" i="1"/>
  <c r="G229" i="1"/>
  <c r="N229" i="1"/>
  <c r="D230" i="1"/>
  <c r="F230" i="1"/>
  <c r="G230" i="1"/>
  <c r="N230" i="1"/>
  <c r="D231" i="1"/>
  <c r="F231" i="1"/>
  <c r="G231" i="1"/>
  <c r="N231" i="1"/>
  <c r="D232" i="1"/>
  <c r="F232" i="1"/>
  <c r="G232" i="1"/>
  <c r="N232" i="1"/>
  <c r="D225" i="1"/>
  <c r="F225" i="1"/>
  <c r="G225" i="1"/>
  <c r="N225" i="1"/>
  <c r="D223" i="1"/>
  <c r="F223" i="1"/>
  <c r="G223" i="1"/>
  <c r="N223" i="1"/>
  <c r="D221" i="1"/>
  <c r="F221" i="1"/>
  <c r="G221" i="1"/>
  <c r="N221" i="1"/>
  <c r="D211" i="1"/>
  <c r="F211" i="1"/>
  <c r="G211" i="1"/>
  <c r="N211" i="1"/>
  <c r="D212" i="1"/>
  <c r="F212" i="1"/>
  <c r="G212" i="1"/>
  <c r="N212" i="1"/>
  <c r="D205" i="1"/>
  <c r="F205" i="1"/>
  <c r="G205" i="1"/>
  <c r="N205" i="1"/>
  <c r="D206" i="1"/>
  <c r="F206" i="1"/>
  <c r="G206" i="1"/>
  <c r="N206" i="1"/>
  <c r="D200" i="1"/>
  <c r="F200" i="1"/>
  <c r="G200" i="1"/>
  <c r="N200" i="1"/>
  <c r="D16" i="1"/>
  <c r="F16" i="1"/>
  <c r="G16" i="1"/>
  <c r="N16" i="1"/>
  <c r="N122" i="1"/>
  <c r="G122" i="1"/>
  <c r="F122" i="1"/>
  <c r="D122" i="1"/>
  <c r="N253" i="1"/>
  <c r="G253" i="1"/>
  <c r="F253" i="1"/>
  <c r="D253" i="1"/>
  <c r="N252" i="1"/>
  <c r="G252" i="1"/>
  <c r="F252" i="1"/>
  <c r="D252" i="1"/>
  <c r="N247" i="1"/>
  <c r="G247" i="1"/>
  <c r="F247" i="1"/>
  <c r="D247" i="1"/>
  <c r="N246" i="1"/>
  <c r="G246" i="1"/>
  <c r="F246" i="1"/>
  <c r="D246" i="1"/>
  <c r="N245" i="1"/>
  <c r="G245" i="1"/>
  <c r="F245" i="1"/>
  <c r="D245" i="1"/>
  <c r="N244" i="1"/>
  <c r="G244" i="1"/>
  <c r="F244" i="1"/>
  <c r="D244" i="1"/>
  <c r="N249" i="1"/>
  <c r="G249" i="1"/>
  <c r="F249" i="1"/>
  <c r="D249" i="1"/>
  <c r="N248" i="1"/>
  <c r="G248" i="1"/>
  <c r="F248" i="1"/>
  <c r="D248" i="1"/>
  <c r="N250" i="1"/>
  <c r="G250" i="1"/>
  <c r="F250" i="1"/>
  <c r="D250" i="1"/>
  <c r="D168" i="1"/>
  <c r="F168" i="1"/>
  <c r="G168" i="1"/>
  <c r="N168" i="1"/>
  <c r="D169" i="1"/>
  <c r="F169" i="1"/>
  <c r="G169" i="1"/>
  <c r="N169" i="1"/>
  <c r="N166" i="1"/>
  <c r="G166" i="1"/>
  <c r="F166" i="1"/>
  <c r="D166" i="1"/>
  <c r="N165" i="1"/>
  <c r="G165" i="1"/>
  <c r="F165" i="1"/>
  <c r="D165" i="1"/>
  <c r="N164" i="1"/>
  <c r="G164" i="1"/>
  <c r="F164" i="1"/>
  <c r="D164" i="1"/>
  <c r="N163" i="1"/>
  <c r="G163" i="1"/>
  <c r="F163" i="1"/>
  <c r="D163" i="1"/>
  <c r="D161" i="1"/>
  <c r="D162" i="1"/>
  <c r="N162" i="1"/>
  <c r="G162" i="1"/>
  <c r="F162" i="1"/>
  <c r="N161" i="1"/>
  <c r="G161" i="1"/>
  <c r="F161" i="1"/>
  <c r="N155" i="1"/>
  <c r="G155" i="1"/>
  <c r="F155" i="1"/>
  <c r="D155" i="1"/>
  <c r="N154" i="1"/>
  <c r="G154" i="1"/>
  <c r="F154" i="1"/>
  <c r="D154" i="1"/>
  <c r="N157" i="1"/>
  <c r="N156" i="1"/>
  <c r="G156" i="1"/>
  <c r="F156" i="1"/>
  <c r="D156" i="1"/>
  <c r="N147" i="1"/>
  <c r="G147" i="1"/>
  <c r="F147" i="1"/>
  <c r="D147" i="1"/>
  <c r="N146" i="1"/>
  <c r="G146" i="1"/>
  <c r="F146" i="1"/>
  <c r="D146" i="1"/>
  <c r="N145" i="1"/>
  <c r="G145" i="1"/>
  <c r="F145" i="1"/>
  <c r="D145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8" i="1"/>
  <c r="N149" i="1"/>
  <c r="N150" i="1"/>
  <c r="N151" i="1"/>
  <c r="N152" i="1"/>
  <c r="N153" i="1"/>
  <c r="N158" i="1"/>
  <c r="N159" i="1"/>
  <c r="N160" i="1"/>
  <c r="N167" i="1"/>
  <c r="N170" i="1"/>
  <c r="N171" i="1"/>
  <c r="N172" i="1"/>
  <c r="N173" i="1"/>
  <c r="N174" i="1"/>
  <c r="N175" i="1"/>
  <c r="N176" i="1"/>
  <c r="N177" i="1"/>
  <c r="N178" i="1"/>
  <c r="N179" i="1"/>
  <c r="N180" i="1"/>
  <c r="N186" i="1"/>
  <c r="N191" i="1"/>
  <c r="N192" i="1"/>
  <c r="N193" i="1"/>
  <c r="N194" i="1"/>
  <c r="N195" i="1"/>
  <c r="N196" i="1"/>
  <c r="N197" i="1"/>
  <c r="N198" i="1"/>
  <c r="N199" i="1"/>
  <c r="N201" i="1"/>
  <c r="N202" i="1"/>
  <c r="N203" i="1"/>
  <c r="N204" i="1"/>
  <c r="N207" i="1"/>
  <c r="N210" i="1"/>
  <c r="N213" i="1"/>
  <c r="N214" i="1"/>
  <c r="N215" i="1"/>
  <c r="N216" i="1"/>
  <c r="N217" i="1"/>
  <c r="N218" i="1"/>
  <c r="N219" i="1"/>
  <c r="N220" i="1"/>
  <c r="N222" i="1"/>
  <c r="N224" i="1"/>
  <c r="N226" i="1"/>
  <c r="N227" i="1"/>
  <c r="N233" i="1"/>
  <c r="N234" i="1"/>
  <c r="N235" i="1"/>
  <c r="N236" i="1"/>
  <c r="N237" i="1"/>
  <c r="N238" i="1"/>
  <c r="N239" i="1"/>
  <c r="N240" i="1"/>
  <c r="N241" i="1"/>
  <c r="N242" i="1"/>
  <c r="N243" i="1"/>
  <c r="N251" i="1"/>
  <c r="N254" i="1"/>
  <c r="N255" i="1"/>
  <c r="N256" i="1"/>
  <c r="N260" i="1"/>
  <c r="N261" i="1"/>
  <c r="N262" i="1"/>
  <c r="N263" i="1"/>
  <c r="N269" i="1"/>
  <c r="N270" i="1"/>
  <c r="N274" i="1"/>
  <c r="N278" i="1"/>
  <c r="N279" i="1"/>
  <c r="N280" i="1"/>
  <c r="N281" i="1"/>
  <c r="N282" i="1"/>
  <c r="N283" i="1"/>
  <c r="N284" i="1"/>
  <c r="N298" i="1"/>
  <c r="N303" i="1"/>
  <c r="N304" i="1"/>
  <c r="N305" i="1"/>
  <c r="N306" i="1"/>
  <c r="N307" i="1"/>
  <c r="N308" i="1"/>
  <c r="N309" i="1"/>
  <c r="N310" i="1"/>
  <c r="N314" i="1"/>
  <c r="N315" i="1"/>
  <c r="N316" i="1"/>
  <c r="N317" i="1"/>
  <c r="N318" i="1"/>
  <c r="N319" i="1"/>
  <c r="N320" i="1"/>
  <c r="N321" i="1"/>
  <c r="N322" i="1"/>
  <c r="D80" i="1"/>
  <c r="F80" i="1"/>
  <c r="G80" i="1"/>
  <c r="N80" i="1"/>
  <c r="N79" i="1"/>
  <c r="G79" i="1"/>
  <c r="F79" i="1"/>
  <c r="D79" i="1"/>
  <c r="N73" i="1"/>
  <c r="G73" i="1"/>
  <c r="F73" i="1"/>
  <c r="D73" i="1"/>
  <c r="D68" i="1"/>
  <c r="F68" i="1"/>
  <c r="G68" i="1"/>
  <c r="N68" i="1"/>
  <c r="N67" i="1"/>
  <c r="N69" i="1"/>
  <c r="N70" i="1"/>
  <c r="N71" i="1"/>
  <c r="N72" i="1"/>
  <c r="N74" i="1"/>
  <c r="N75" i="1"/>
  <c r="N76" i="1"/>
  <c r="N77" i="1"/>
  <c r="N78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1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9" i="1"/>
  <c r="G70" i="1"/>
  <c r="G71" i="1"/>
  <c r="G72" i="1"/>
  <c r="G74" i="1"/>
  <c r="G75" i="1"/>
  <c r="G76" i="1"/>
  <c r="G77" i="1"/>
  <c r="G78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101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8" i="1"/>
  <c r="G149" i="1"/>
  <c r="G150" i="1"/>
  <c r="G151" i="1"/>
  <c r="G152" i="1"/>
  <c r="G153" i="1"/>
  <c r="G158" i="1"/>
  <c r="G159" i="1"/>
  <c r="G160" i="1"/>
  <c r="G167" i="1"/>
  <c r="G170" i="1"/>
  <c r="G171" i="1"/>
  <c r="G172" i="1"/>
  <c r="G173" i="1"/>
  <c r="G174" i="1"/>
  <c r="G175" i="1"/>
  <c r="G176" i="1"/>
  <c r="G177" i="1"/>
  <c r="G178" i="1"/>
  <c r="G179" i="1"/>
  <c r="G180" i="1"/>
  <c r="G186" i="1"/>
  <c r="G191" i="1"/>
  <c r="G192" i="1"/>
  <c r="G193" i="1"/>
  <c r="G194" i="1"/>
  <c r="G195" i="1"/>
  <c r="G196" i="1"/>
  <c r="G197" i="1"/>
  <c r="G198" i="1"/>
  <c r="G199" i="1"/>
  <c r="G201" i="1"/>
  <c r="G202" i="1"/>
  <c r="G203" i="1"/>
  <c r="G204" i="1"/>
  <c r="G207" i="1"/>
  <c r="G210" i="1"/>
  <c r="G213" i="1"/>
  <c r="G214" i="1"/>
  <c r="G215" i="1"/>
  <c r="G216" i="1"/>
  <c r="G217" i="1"/>
  <c r="G218" i="1"/>
  <c r="G219" i="1"/>
  <c r="G220" i="1"/>
  <c r="G222" i="1"/>
  <c r="G224" i="1"/>
  <c r="G226" i="1"/>
  <c r="G227" i="1"/>
  <c r="G233" i="1"/>
  <c r="G234" i="1"/>
  <c r="G235" i="1"/>
  <c r="G236" i="1"/>
  <c r="G237" i="1"/>
  <c r="G238" i="1"/>
  <c r="G239" i="1"/>
  <c r="G240" i="1"/>
  <c r="G241" i="1"/>
  <c r="G242" i="1"/>
  <c r="G243" i="1"/>
  <c r="G251" i="1"/>
  <c r="G254" i="1"/>
  <c r="G255" i="1"/>
  <c r="G256" i="1"/>
  <c r="G260" i="1"/>
  <c r="G261" i="1"/>
  <c r="G262" i="1"/>
  <c r="G263" i="1"/>
  <c r="G269" i="1"/>
  <c r="G270" i="1"/>
  <c r="G274" i="1"/>
  <c r="G278" i="1"/>
  <c r="G279" i="1"/>
  <c r="G280" i="1"/>
  <c r="G281" i="1"/>
  <c r="G282" i="1"/>
  <c r="G283" i="1"/>
  <c r="G284" i="1"/>
  <c r="G298" i="1"/>
  <c r="G303" i="1"/>
  <c r="G304" i="1"/>
  <c r="G305" i="1"/>
  <c r="G306" i="1"/>
  <c r="G307" i="1"/>
  <c r="G308" i="1"/>
  <c r="G309" i="1"/>
  <c r="G310" i="1"/>
  <c r="G314" i="1"/>
  <c r="G315" i="1"/>
  <c r="G316" i="1"/>
  <c r="G317" i="1"/>
  <c r="G318" i="1"/>
  <c r="G319" i="1"/>
  <c r="G320" i="1"/>
  <c r="G321" i="1"/>
  <c r="G32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9" i="1"/>
  <c r="F70" i="1"/>
  <c r="F71" i="1"/>
  <c r="F72" i="1"/>
  <c r="F74" i="1"/>
  <c r="F75" i="1"/>
  <c r="F76" i="1"/>
  <c r="F77" i="1"/>
  <c r="F78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101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8" i="1"/>
  <c r="F149" i="1"/>
  <c r="F150" i="1"/>
  <c r="F151" i="1"/>
  <c r="F152" i="1"/>
  <c r="F153" i="1"/>
  <c r="F158" i="1"/>
  <c r="F159" i="1"/>
  <c r="F160" i="1"/>
  <c r="F167" i="1"/>
  <c r="F170" i="1"/>
  <c r="F171" i="1"/>
  <c r="F172" i="1"/>
  <c r="F173" i="1"/>
  <c r="F174" i="1"/>
  <c r="F175" i="1"/>
  <c r="F176" i="1"/>
  <c r="F177" i="1"/>
  <c r="F178" i="1"/>
  <c r="F179" i="1"/>
  <c r="F180" i="1"/>
  <c r="F186" i="1"/>
  <c r="F191" i="1"/>
  <c r="F192" i="1"/>
  <c r="F193" i="1"/>
  <c r="F194" i="1"/>
  <c r="F195" i="1"/>
  <c r="F196" i="1"/>
  <c r="F197" i="1"/>
  <c r="F198" i="1"/>
  <c r="F199" i="1"/>
  <c r="F201" i="1"/>
  <c r="F202" i="1"/>
  <c r="F203" i="1"/>
  <c r="F204" i="1"/>
  <c r="F207" i="1"/>
  <c r="F210" i="1"/>
  <c r="F213" i="1"/>
  <c r="F214" i="1"/>
  <c r="F215" i="1"/>
  <c r="F216" i="1"/>
  <c r="F217" i="1"/>
  <c r="F218" i="1"/>
  <c r="F219" i="1"/>
  <c r="F220" i="1"/>
  <c r="F222" i="1"/>
  <c r="F224" i="1"/>
  <c r="F226" i="1"/>
  <c r="F227" i="1"/>
  <c r="F233" i="1"/>
  <c r="F234" i="1"/>
  <c r="F235" i="1"/>
  <c r="F236" i="1"/>
  <c r="F237" i="1"/>
  <c r="F238" i="1"/>
  <c r="F239" i="1"/>
  <c r="F240" i="1"/>
  <c r="F241" i="1"/>
  <c r="F242" i="1"/>
  <c r="F243" i="1"/>
  <c r="F251" i="1"/>
  <c r="F254" i="1"/>
  <c r="F255" i="1"/>
  <c r="F256" i="1"/>
  <c r="F260" i="1"/>
  <c r="F261" i="1"/>
  <c r="F262" i="1"/>
  <c r="F263" i="1"/>
  <c r="F269" i="1"/>
  <c r="F270" i="1"/>
  <c r="F274" i="1"/>
  <c r="F278" i="1"/>
  <c r="F279" i="1"/>
  <c r="F280" i="1"/>
  <c r="F281" i="1"/>
  <c r="F282" i="1"/>
  <c r="F283" i="1"/>
  <c r="F284" i="1"/>
  <c r="F298" i="1"/>
  <c r="F303" i="1"/>
  <c r="F304" i="1"/>
  <c r="F305" i="1"/>
  <c r="F306" i="1"/>
  <c r="F307" i="1"/>
  <c r="F308" i="1"/>
  <c r="F309" i="1"/>
  <c r="F310" i="1"/>
  <c r="F314" i="1"/>
  <c r="F315" i="1"/>
  <c r="F316" i="1"/>
  <c r="F317" i="1"/>
  <c r="F318" i="1"/>
  <c r="F319" i="1"/>
  <c r="F320" i="1"/>
  <c r="F321" i="1"/>
  <c r="F322" i="1"/>
  <c r="F2" i="1"/>
  <c r="D61" i="1"/>
  <c r="N61" i="1"/>
  <c r="N57" i="1"/>
  <c r="D57" i="1"/>
  <c r="N56" i="1"/>
  <c r="D56" i="1"/>
  <c r="N55" i="1"/>
  <c r="D55" i="1"/>
  <c r="N54" i="1"/>
  <c r="D54" i="1"/>
  <c r="N59" i="1"/>
  <c r="D59" i="1"/>
  <c r="N58" i="1"/>
  <c r="D58" i="1"/>
  <c r="N60" i="1"/>
  <c r="D60" i="1"/>
  <c r="N10" i="1"/>
  <c r="N11" i="1"/>
  <c r="N12" i="1"/>
  <c r="N13" i="1"/>
  <c r="N14" i="1"/>
  <c r="N15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9" i="1"/>
  <c r="N50" i="1"/>
  <c r="N51" i="1"/>
  <c r="N52" i="1"/>
  <c r="N53" i="1"/>
  <c r="N62" i="1"/>
  <c r="N63" i="1"/>
  <c r="N64" i="1"/>
  <c r="N65" i="1"/>
  <c r="N66" i="1"/>
  <c r="N48" i="1"/>
  <c r="D41" i="1"/>
  <c r="D42" i="1"/>
  <c r="D43" i="1"/>
  <c r="D44" i="1"/>
  <c r="D33" i="1"/>
  <c r="D34" i="1"/>
  <c r="D35" i="1"/>
  <c r="D36" i="1"/>
  <c r="D37" i="1"/>
  <c r="D38" i="1"/>
  <c r="D39" i="1"/>
  <c r="D40" i="1"/>
  <c r="D30" i="1"/>
  <c r="D224" i="1"/>
  <c r="D226" i="1"/>
  <c r="D227" i="1"/>
  <c r="D233" i="1"/>
  <c r="D234" i="1"/>
  <c r="D235" i="1"/>
  <c r="D236" i="1"/>
  <c r="D237" i="1"/>
  <c r="D238" i="1"/>
  <c r="D239" i="1"/>
  <c r="D240" i="1"/>
  <c r="D241" i="1"/>
  <c r="D242" i="1"/>
  <c r="D243" i="1"/>
  <c r="D251" i="1"/>
  <c r="D254" i="1"/>
  <c r="D255" i="1"/>
  <c r="D256" i="1"/>
  <c r="D260" i="1"/>
  <c r="D261" i="1"/>
  <c r="D262" i="1"/>
  <c r="D263" i="1"/>
  <c r="D269" i="1"/>
  <c r="D270" i="1"/>
  <c r="D274" i="1"/>
  <c r="D278" i="1"/>
  <c r="D279" i="1"/>
  <c r="D280" i="1"/>
  <c r="D281" i="1"/>
  <c r="D282" i="1"/>
  <c r="D283" i="1"/>
  <c r="D284" i="1"/>
  <c r="D298" i="1"/>
  <c r="D303" i="1"/>
  <c r="D304" i="1"/>
  <c r="D305" i="1"/>
  <c r="D306" i="1"/>
  <c r="D307" i="1"/>
  <c r="D308" i="1"/>
  <c r="D310" i="1"/>
  <c r="D314" i="1"/>
  <c r="D315" i="1"/>
  <c r="D316" i="1"/>
  <c r="D317" i="1"/>
  <c r="D318" i="1"/>
  <c r="D319" i="1"/>
  <c r="D320" i="1"/>
  <c r="D321" i="1"/>
  <c r="D32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1" i="1"/>
  <c r="D32" i="1"/>
  <c r="D45" i="1"/>
  <c r="D46" i="1"/>
  <c r="D47" i="1"/>
  <c r="D48" i="1"/>
  <c r="D49" i="1"/>
  <c r="D50" i="1"/>
  <c r="D51" i="1"/>
  <c r="D52" i="1"/>
  <c r="D53" i="1"/>
  <c r="D62" i="1"/>
  <c r="D63" i="1"/>
  <c r="D64" i="1"/>
  <c r="D65" i="1"/>
  <c r="D66" i="1"/>
  <c r="D67" i="1"/>
  <c r="D69" i="1"/>
  <c r="D70" i="1"/>
  <c r="D71" i="1"/>
  <c r="D72" i="1"/>
  <c r="D74" i="1"/>
  <c r="D75" i="1"/>
  <c r="D76" i="1"/>
  <c r="D77" i="1"/>
  <c r="D78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101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8" i="1"/>
  <c r="D149" i="1"/>
  <c r="D150" i="1"/>
  <c r="D151" i="1"/>
  <c r="D152" i="1"/>
  <c r="D153" i="1"/>
  <c r="D158" i="1"/>
  <c r="D159" i="1"/>
  <c r="D160" i="1"/>
  <c r="D167" i="1"/>
  <c r="D170" i="1"/>
  <c r="D171" i="1"/>
  <c r="D172" i="1"/>
  <c r="D173" i="1"/>
  <c r="D174" i="1"/>
  <c r="D175" i="1"/>
  <c r="D176" i="1"/>
  <c r="D177" i="1"/>
  <c r="D178" i="1"/>
  <c r="D179" i="1"/>
  <c r="D180" i="1"/>
  <c r="D191" i="1"/>
  <c r="D192" i="1"/>
  <c r="D193" i="1"/>
  <c r="D194" i="1"/>
  <c r="D195" i="1"/>
  <c r="D196" i="1"/>
  <c r="D197" i="1"/>
  <c r="D198" i="1"/>
  <c r="D199" i="1"/>
  <c r="D201" i="1"/>
  <c r="D202" i="1"/>
  <c r="D203" i="1"/>
  <c r="D204" i="1"/>
  <c r="D207" i="1"/>
  <c r="D210" i="1"/>
  <c r="D213" i="1"/>
  <c r="D214" i="1"/>
  <c r="D215" i="1"/>
  <c r="D216" i="1"/>
  <c r="D217" i="1"/>
  <c r="D218" i="1"/>
  <c r="D219" i="1"/>
  <c r="D220" i="1"/>
  <c r="D222" i="1"/>
  <c r="D2" i="1"/>
  <c r="N311" i="1"/>
  <c r="G311" i="1"/>
  <c r="F311" i="1"/>
  <c r="D311" i="1"/>
</calcChain>
</file>

<file path=xl/sharedStrings.xml><?xml version="1.0" encoding="utf-8"?>
<sst xmlns="http://schemas.openxmlformats.org/spreadsheetml/2006/main" count="1432" uniqueCount="296">
  <si>
    <t>id</t>
  </si>
  <si>
    <t>catalogNumber</t>
  </si>
  <si>
    <t>year</t>
  </si>
  <si>
    <t>region</t>
  </si>
  <si>
    <t>decade</t>
  </si>
  <si>
    <t>pre.1890</t>
  </si>
  <si>
    <t>1890s</t>
  </si>
  <si>
    <t>1900s</t>
  </si>
  <si>
    <t>1910s</t>
  </si>
  <si>
    <t>1920s</t>
  </si>
  <si>
    <t>institutionCode</t>
  </si>
  <si>
    <t>county</t>
  </si>
  <si>
    <t>locality</t>
  </si>
  <si>
    <t>decimalLatitude</t>
  </si>
  <si>
    <t>decimalLongitude</t>
  </si>
  <si>
    <t>sampled?</t>
  </si>
  <si>
    <t>extracted?</t>
  </si>
  <si>
    <t>1930s</t>
  </si>
  <si>
    <t>1940s</t>
  </si>
  <si>
    <t>1950s</t>
  </si>
  <si>
    <t>1960s</t>
  </si>
  <si>
    <t>1970s</t>
  </si>
  <si>
    <t>1980s</t>
  </si>
  <si>
    <t>1990s</t>
  </si>
  <si>
    <t>2000s</t>
  </si>
  <si>
    <t>2010s</t>
  </si>
  <si>
    <t>2020s</t>
  </si>
  <si>
    <t>BAYS</t>
  </si>
  <si>
    <t>VALY</t>
  </si>
  <si>
    <t>y</t>
  </si>
  <si>
    <t>NA</t>
  </si>
  <si>
    <t>UC10779</t>
  </si>
  <si>
    <t>notes</t>
  </si>
  <si>
    <t>SKIP? in mountains/cooler and wetter than SD/LA basin</t>
  </si>
  <si>
    <t>OR 3452051</t>
  </si>
  <si>
    <t>3382838 is alternate/same; limited location data</t>
  </si>
  <si>
    <t>OR 2336172/2316473</t>
  </si>
  <si>
    <t>yet to prioritize within this decade</t>
  </si>
  <si>
    <t>OR 2328808, or 2286003 (no lf tissue)</t>
  </si>
  <si>
    <t>yet to prioritize in decade; OR 2465901/2390205</t>
  </si>
  <si>
    <t>in Marin</t>
  </si>
  <si>
    <t>north valley; OR 2465731/3430357</t>
  </si>
  <si>
    <t>pacific grove</t>
  </si>
  <si>
    <t>monterey</t>
  </si>
  <si>
    <t>south of sf; OR 1367991</t>
  </si>
  <si>
    <t>monterey; OR 3479651</t>
  </si>
  <si>
    <t>stanford area; OR 2398571</t>
  </si>
  <si>
    <t>berkeley; OR 2446817/2388593/2366181/2322547/2317066/</t>
  </si>
  <si>
    <t>santa cruz</t>
  </si>
  <si>
    <t>SF</t>
  </si>
  <si>
    <t>moterey</t>
  </si>
  <si>
    <t>san diego</t>
  </si>
  <si>
    <t>LA</t>
  </si>
  <si>
    <t>SDLA</t>
  </si>
  <si>
    <t>east bay; OR 3334730/2408641</t>
  </si>
  <si>
    <t>riverside co</t>
  </si>
  <si>
    <t>san bernadino</t>
  </si>
  <si>
    <t>DNA_tissue</t>
  </si>
  <si>
    <t>leaf_tissue</t>
  </si>
  <si>
    <t>sf</t>
  </si>
  <si>
    <t>santa cruz; OR 3306212</t>
  </si>
  <si>
    <t>oakland</t>
  </si>
  <si>
    <t>berkeley</t>
  </si>
  <si>
    <t>berkeley; exact dup 3550026,or 3792171/3417594</t>
  </si>
  <si>
    <t>extr_tissue</t>
  </si>
  <si>
    <t>yes</t>
  </si>
  <si>
    <t>berkeley;exact dup 1368038, OR 2423815</t>
  </si>
  <si>
    <t>stanf</t>
  </si>
  <si>
    <t>santa cruz; OR 2334980/2450089</t>
  </si>
  <si>
    <t>tiburon; OR 2333212</t>
  </si>
  <si>
    <t>hayward</t>
  </si>
  <si>
    <t>marin</t>
  </si>
  <si>
    <t>hayward; OR 5569679/5569678/5504864</t>
  </si>
  <si>
    <t>east bay; OR 2414047</t>
  </si>
  <si>
    <t>east bay</t>
  </si>
  <si>
    <t>east bay: OR 2328064</t>
  </si>
  <si>
    <t>yes generally for year and region</t>
  </si>
  <si>
    <t>ano nuevo; OR 5569853</t>
  </si>
  <si>
    <t>stanf ish</t>
  </si>
  <si>
    <t>haywayd</t>
  </si>
  <si>
    <t>sonoma</t>
  </si>
  <si>
    <t>walnut creek</t>
  </si>
  <si>
    <t>san  diego</t>
  </si>
  <si>
    <t>y-OG</t>
  </si>
  <si>
    <t>maybe don't need to do</t>
  </si>
  <si>
    <t>duplicates/alternates</t>
  </si>
  <si>
    <t>samp with extra</t>
  </si>
  <si>
    <t>lab_id</t>
  </si>
  <si>
    <t>SD00062742</t>
  </si>
  <si>
    <t>UCSB032030</t>
  </si>
  <si>
    <t>SD00062744</t>
  </si>
  <si>
    <t>SD00062741</t>
  </si>
  <si>
    <t>SD00062711</t>
  </si>
  <si>
    <t>US 238201</t>
  </si>
  <si>
    <t>JEPS53816</t>
  </si>
  <si>
    <t>UC64347</t>
  </si>
  <si>
    <t>UCSC100000692</t>
  </si>
  <si>
    <t>UC56903</t>
  </si>
  <si>
    <t>UC117496</t>
  </si>
  <si>
    <t>UC56738</t>
  </si>
  <si>
    <t>UC66740</t>
  </si>
  <si>
    <t>UC69195</t>
  </si>
  <si>
    <t>JEPS53817</t>
  </si>
  <si>
    <t>SD00062802</t>
  </si>
  <si>
    <t>SD00062713</t>
  </si>
  <si>
    <t>SBBG213823</t>
  </si>
  <si>
    <t>JEPS53815</t>
  </si>
  <si>
    <t>SBBG213838</t>
  </si>
  <si>
    <t>DAV310399</t>
  </si>
  <si>
    <t>SD00062739</t>
  </si>
  <si>
    <t>SD00062800</t>
  </si>
  <si>
    <t>SD00062714</t>
  </si>
  <si>
    <t>SD00062715</t>
  </si>
  <si>
    <t>SD00062737</t>
  </si>
  <si>
    <t>SD00062717</t>
  </si>
  <si>
    <t>SD00062564</t>
  </si>
  <si>
    <t>SD00062674</t>
  </si>
  <si>
    <t>SD00062679</t>
  </si>
  <si>
    <t>SD00062553</t>
  </si>
  <si>
    <t>SD00062754</t>
  </si>
  <si>
    <t>SD00061956</t>
  </si>
  <si>
    <t>SD00062677</t>
  </si>
  <si>
    <t>SD00062675</t>
  </si>
  <si>
    <t>SD00062670</t>
  </si>
  <si>
    <t>SD00062743</t>
  </si>
  <si>
    <t>SD00062669</t>
  </si>
  <si>
    <t>SD00062668</t>
  </si>
  <si>
    <t>SD00062563</t>
  </si>
  <si>
    <t>SD00062667</t>
  </si>
  <si>
    <t>UCSB032011</t>
  </si>
  <si>
    <t>SBBG213834</t>
  </si>
  <si>
    <t>UCSB032009</t>
  </si>
  <si>
    <t>SDSU01237</t>
  </si>
  <si>
    <t>UCSB031994</t>
  </si>
  <si>
    <t>UCSB031998</t>
  </si>
  <si>
    <t>UCSB032064</t>
  </si>
  <si>
    <t>UCSB032031</t>
  </si>
  <si>
    <t>SDSU01215</t>
  </si>
  <si>
    <t>UCR0083345</t>
  </si>
  <si>
    <t>SDSU01220</t>
  </si>
  <si>
    <t>UCSB032037</t>
  </si>
  <si>
    <t>SD00062664</t>
  </si>
  <si>
    <t>SBBG213844</t>
  </si>
  <si>
    <t>UCR0083346</t>
  </si>
  <si>
    <t>SD00062665</t>
  </si>
  <si>
    <t>UCR0083335</t>
  </si>
  <si>
    <t>UCR0083371</t>
  </si>
  <si>
    <t>SBBG213840</t>
  </si>
  <si>
    <t>UCR0083336</t>
  </si>
  <si>
    <t>UC1584034</t>
  </si>
  <si>
    <t>SD00060083</t>
  </si>
  <si>
    <t>UCR0111504</t>
  </si>
  <si>
    <t>UCR0083342</t>
  </si>
  <si>
    <t>UCR0083338</t>
  </si>
  <si>
    <t>SD00062738</t>
  </si>
  <si>
    <t>SD00062660</t>
  </si>
  <si>
    <t>SD00062753</t>
  </si>
  <si>
    <t>SDSU15680</t>
  </si>
  <si>
    <t>SD00062561</t>
  </si>
  <si>
    <t>SD00062752</t>
  </si>
  <si>
    <t>SD00062685</t>
  </si>
  <si>
    <t>SD00062639</t>
  </si>
  <si>
    <t>SD00062589</t>
  </si>
  <si>
    <t>SD00062735</t>
  </si>
  <si>
    <t>SD00062691</t>
  </si>
  <si>
    <t>SD00062682</t>
  </si>
  <si>
    <t>SD00062731</t>
  </si>
  <si>
    <t>SD00062628</t>
  </si>
  <si>
    <t>SD00062630</t>
  </si>
  <si>
    <t>SD00062583</t>
  </si>
  <si>
    <t>SD00030202</t>
  </si>
  <si>
    <t>SD00062776</t>
  </si>
  <si>
    <t>SD00062775</t>
  </si>
  <si>
    <t>SD00062706</t>
  </si>
  <si>
    <t>SDSU19952</t>
  </si>
  <si>
    <t>SDSU19995</t>
  </si>
  <si>
    <t>JEPS53818</t>
  </si>
  <si>
    <t>UC14322</t>
  </si>
  <si>
    <t>DAV310423</t>
  </si>
  <si>
    <t>UC203587</t>
  </si>
  <si>
    <t>DAV310417</t>
  </si>
  <si>
    <t>CHSC000533</t>
  </si>
  <si>
    <t>UC596419</t>
  </si>
  <si>
    <t>UC765025</t>
  </si>
  <si>
    <t>UC765016</t>
  </si>
  <si>
    <t>JEPS53814</t>
  </si>
  <si>
    <t>DAV310432</t>
  </si>
  <si>
    <t>DAV310436</t>
  </si>
  <si>
    <t>JEPS8424</t>
  </si>
  <si>
    <t>JEPS45441</t>
  </si>
  <si>
    <t>JEPS45440</t>
  </si>
  <si>
    <t>CHSC000537</t>
  </si>
  <si>
    <t>CHSC010657</t>
  </si>
  <si>
    <t>CHSC126713</t>
  </si>
  <si>
    <t>CHSC126717</t>
  </si>
  <si>
    <t>FSC0010474</t>
  </si>
  <si>
    <t>CHSC026459</t>
  </si>
  <si>
    <t>CHSC021252</t>
  </si>
  <si>
    <t>CHSC046484</t>
  </si>
  <si>
    <t>CHSC027838</t>
  </si>
  <si>
    <t>CHSC031957</t>
  </si>
  <si>
    <t>CHSC038033</t>
  </si>
  <si>
    <t>CHSC038030</t>
  </si>
  <si>
    <t>CHSC038031</t>
  </si>
  <si>
    <t>CHSC038052</t>
  </si>
  <si>
    <t>CHSC047040</t>
  </si>
  <si>
    <t>SD00062796</t>
  </si>
  <si>
    <t>DAV310445</t>
  </si>
  <si>
    <t>UCR0083309</t>
  </si>
  <si>
    <t>DAV300674</t>
  </si>
  <si>
    <t>CHSC065917</t>
  </si>
  <si>
    <t>JEPS88506</t>
  </si>
  <si>
    <t>DAV310439</t>
  </si>
  <si>
    <t>DAV328011</t>
  </si>
  <si>
    <t>DAV315352</t>
  </si>
  <si>
    <t>DAV310425</t>
  </si>
  <si>
    <t>DAV300676</t>
  </si>
  <si>
    <t>DAV300672</t>
  </si>
  <si>
    <t>CHSC096467</t>
  </si>
  <si>
    <t>DAV310437</t>
  </si>
  <si>
    <t>UCR0083380</t>
  </si>
  <si>
    <t>UCR0083377</t>
  </si>
  <si>
    <t>UCR0083398</t>
  </si>
  <si>
    <t>DAV325632</t>
  </si>
  <si>
    <t>DAV245704</t>
  </si>
  <si>
    <t>DAV244422</t>
  </si>
  <si>
    <t>UC10776</t>
  </si>
  <si>
    <t>JEPS53812</t>
  </si>
  <si>
    <t>UC1206452</t>
  </si>
  <si>
    <t>UC10775</t>
  </si>
  <si>
    <t>UC127885</t>
  </si>
  <si>
    <t>US 874348</t>
  </si>
  <si>
    <t>US 880131</t>
  </si>
  <si>
    <t>US 765571</t>
  </si>
  <si>
    <t>DAV310407</t>
  </si>
  <si>
    <t>DAV310408</t>
  </si>
  <si>
    <t>DAV300673</t>
  </si>
  <si>
    <t>DAV310430</t>
  </si>
  <si>
    <t>DAV310431</t>
  </si>
  <si>
    <t>UC212637</t>
  </si>
  <si>
    <t>UC212638</t>
  </si>
  <si>
    <t>DAV310416</t>
  </si>
  <si>
    <t>FSC0010443</t>
  </si>
  <si>
    <t>FSC0010481</t>
  </si>
  <si>
    <t>UC407038</t>
  </si>
  <si>
    <t>UC650429</t>
  </si>
  <si>
    <t>SD00062792</t>
  </si>
  <si>
    <t>SD00062793</t>
  </si>
  <si>
    <t>UC1126745</t>
  </si>
  <si>
    <t>UC1126746</t>
  </si>
  <si>
    <t>FSC0010456</t>
  </si>
  <si>
    <t>UC1614555</t>
  </si>
  <si>
    <t>UC1126749</t>
  </si>
  <si>
    <t>UC1126752</t>
  </si>
  <si>
    <t>UC606739</t>
  </si>
  <si>
    <t>DAV300681</t>
  </si>
  <si>
    <t>UC685672</t>
  </si>
  <si>
    <t>DAV010561</t>
  </si>
  <si>
    <t>UC1327247</t>
  </si>
  <si>
    <t>UCSC100000696</t>
  </si>
  <si>
    <t>SD00062710</t>
  </si>
  <si>
    <t>CHSC075075</t>
  </si>
  <si>
    <t>US 3492194</t>
  </si>
  <si>
    <t>SD00062659</t>
  </si>
  <si>
    <t>UCSC100000691</t>
  </si>
  <si>
    <t>UCR0083394</t>
  </si>
  <si>
    <t>UC2027737</t>
  </si>
  <si>
    <t>UC2028176</t>
  </si>
  <si>
    <t>JEPS100009</t>
  </si>
  <si>
    <t>OBI101761</t>
  </si>
  <si>
    <t>JEPS111867</t>
  </si>
  <si>
    <t>DAV310440</t>
  </si>
  <si>
    <t>DAV300671</t>
  </si>
  <si>
    <t>UCSC100000697</t>
  </si>
  <si>
    <t>UCSC100000698</t>
  </si>
  <si>
    <t>UCSC100000689</t>
  </si>
  <si>
    <t>UCSC100000688</t>
  </si>
  <si>
    <t>UCSC100000690</t>
  </si>
  <si>
    <t>JEPS127092</t>
  </si>
  <si>
    <t>OBI101741</t>
  </si>
  <si>
    <t>UCSC100003138</t>
  </si>
  <si>
    <t>UCSC100003126</t>
  </si>
  <si>
    <t>cat_id</t>
  </si>
  <si>
    <t>cat_id_formula</t>
  </si>
  <si>
    <t>y-N</t>
  </si>
  <si>
    <t xml:space="preserve">y </t>
  </si>
  <si>
    <t xml:space="preserve"> </t>
  </si>
  <si>
    <t>ip</t>
  </si>
  <si>
    <t>failed</t>
  </si>
  <si>
    <t>successful?</t>
  </si>
  <si>
    <t>failed(?)</t>
  </si>
  <si>
    <t>maybe</t>
  </si>
  <si>
    <t>n</t>
  </si>
  <si>
    <t>m</t>
  </si>
  <si>
    <t>y!</t>
  </si>
  <si>
    <t>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</si>
</sst>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1D1C1D"/>
      <name val="Aptos Display"/>
      <scheme val="maj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3" fillId="5" borderId="0" xfId="0" applyFont="1" applyFill="1"/>
    <xf numFmtId="0" fontId="0" fillId="6" borderId="0" xfId="0" applyFill="1"/>
    <xf numFmtId="0" fontId="3" fillId="6" borderId="0" xfId="0" applyFont="1" applyFill="1"/>
    <xf numFmtId="0" fontId="1" fillId="3" borderId="0" xfId="0" applyFont="1" applyFill="1"/>
    <xf numFmtId="0" fontId="5" fillId="3" borderId="0" xfId="0" applyFont="1" applyFill="1"/>
  </cellXfs>
  <cellStyles count="1"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liaharencar/Library/CloudStorage/GoogleDrive-jgharencar@ucdavis.edu/My%20Drive/Radishes/Herbarium_specimens/Herbarium_tissue_collected.xlsx" TargetMode="External"/><Relationship Id="rId1" Type="http://schemas.openxmlformats.org/officeDocument/2006/relationships/externalLinkPath" Target="/Users/juliaharencar/Library/CloudStorage/GoogleDrive-jgharencar@ucdavis.edu/My%20Drive/Radishes/Herbarium_specimens/Herbarium_tissue_coll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rbarium_tissue_collected"/>
      <sheetName val="CAS unsampled"/>
      <sheetName val="Recollection"/>
      <sheetName val="metadata"/>
    </sheetNames>
    <sheetDataSet>
      <sheetData sheetId="0">
        <row r="1">
          <cell r="B1" t="str">
            <v>id</v>
          </cell>
          <cell r="D1" t="str">
            <v>catalogNumber</v>
          </cell>
          <cell r="E1" t="str">
            <v>year</v>
          </cell>
          <cell r="F1" t="str">
            <v>DNA tissue</v>
          </cell>
          <cell r="G1" t="str">
            <v>leaf_tissue</v>
          </cell>
        </row>
        <row r="2">
          <cell r="B2">
            <v>4929046</v>
          </cell>
          <cell r="D2" t="str">
            <v>US 320539</v>
          </cell>
          <cell r="E2">
            <v>1864</v>
          </cell>
        </row>
        <row r="3">
          <cell r="B3">
            <v>468963</v>
          </cell>
          <cell r="D3" t="str">
            <v>SD00062742</v>
          </cell>
          <cell r="E3">
            <v>1875</v>
          </cell>
          <cell r="F3" t="str">
            <v>4 bud clusters and a lil leaf</v>
          </cell>
          <cell r="G3" t="str">
            <v>yes, cauline</v>
          </cell>
        </row>
        <row r="4">
          <cell r="B4">
            <v>304566</v>
          </cell>
          <cell r="D4" t="str">
            <v>UCSB032030</v>
          </cell>
          <cell r="E4">
            <v>1882</v>
          </cell>
          <cell r="F4" t="str">
            <v>buds w extra</v>
          </cell>
          <cell r="G4" t="str">
            <v>yes, basal</v>
          </cell>
        </row>
        <row r="5">
          <cell r="B5">
            <v>468961</v>
          </cell>
          <cell r="D5" t="str">
            <v>SD00062744</v>
          </cell>
          <cell r="E5">
            <v>1884</v>
          </cell>
          <cell r="F5" t="str">
            <v>5 axillary buds</v>
          </cell>
          <cell r="G5" t="str">
            <v>yes, cauline w/ intermediate morphology</v>
          </cell>
        </row>
        <row r="6">
          <cell r="B6">
            <v>468962</v>
          </cell>
          <cell r="D6" t="str">
            <v>SD00062741</v>
          </cell>
          <cell r="E6">
            <v>1884</v>
          </cell>
          <cell r="F6" t="str">
            <v>several bud clusters and a lil leaf</v>
          </cell>
          <cell r="G6" t="str">
            <v>yes, cauline</v>
          </cell>
        </row>
        <row r="7">
          <cell r="B7">
            <v>3351467</v>
          </cell>
          <cell r="D7" t="str">
            <v>JEPS53818</v>
          </cell>
          <cell r="E7">
            <v>1884</v>
          </cell>
          <cell r="F7" t="str">
            <v>1 axiallary bud cluster, 2 apical bud clusters, extra buds</v>
          </cell>
          <cell r="G7" t="str">
            <v>yes, cauline</v>
          </cell>
        </row>
        <row r="8">
          <cell r="B8">
            <v>2286213</v>
          </cell>
          <cell r="D8">
            <v>74276</v>
          </cell>
          <cell r="E8">
            <v>1891</v>
          </cell>
          <cell r="F8" t="str">
            <v xml:space="preserve">3 axillary buds, 1 terminal bud cluster, 1 little leaf </v>
          </cell>
          <cell r="G8" t="str">
            <v>yes, basal</v>
          </cell>
        </row>
        <row r="9">
          <cell r="B9" t="str">
            <v>NA</v>
          </cell>
          <cell r="D9">
            <v>74174</v>
          </cell>
          <cell r="E9">
            <v>1893</v>
          </cell>
          <cell r="F9" t="str">
            <v>1 terminal bud cluster, a few loose buds</v>
          </cell>
          <cell r="G9" t="str">
            <v>no</v>
          </cell>
        </row>
        <row r="10">
          <cell r="B10">
            <v>2448284</v>
          </cell>
          <cell r="D10">
            <v>74317</v>
          </cell>
          <cell r="E10">
            <v>1893</v>
          </cell>
          <cell r="F10" t="str">
            <v xml:space="preserve">3 axillary buds, 1 terminal bud cluster, 1 little leaf </v>
          </cell>
          <cell r="G10" t="str">
            <v>yes, basal</v>
          </cell>
        </row>
        <row r="11">
          <cell r="B11">
            <v>468999</v>
          </cell>
          <cell r="D11" t="str">
            <v>SD00062711</v>
          </cell>
          <cell r="E11">
            <v>1893</v>
          </cell>
          <cell r="F11" t="str">
            <v>2-3 axillary buds</v>
          </cell>
          <cell r="G11" t="str">
            <v>yes, basal</v>
          </cell>
        </row>
        <row r="12">
          <cell r="B12" t="str">
            <v>NA</v>
          </cell>
          <cell r="D12" t="str">
            <v>UC10779</v>
          </cell>
          <cell r="E12">
            <v>1893</v>
          </cell>
          <cell r="F12" t="str">
            <v>2 bud clusters, 1 little leaf</v>
          </cell>
          <cell r="G12" t="str">
            <v>yes, basal</v>
          </cell>
        </row>
        <row r="13">
          <cell r="B13">
            <v>3366602</v>
          </cell>
          <cell r="D13" t="str">
            <v>UC10776</v>
          </cell>
          <cell r="E13">
            <v>1893</v>
          </cell>
          <cell r="F13" t="str">
            <v>2 terminal bud clusters</v>
          </cell>
          <cell r="G13" t="str">
            <v>yes, basal</v>
          </cell>
        </row>
        <row r="14">
          <cell r="B14">
            <v>5009796</v>
          </cell>
          <cell r="D14" t="str">
            <v>US 238201</v>
          </cell>
          <cell r="E14">
            <v>1893</v>
          </cell>
        </row>
        <row r="15">
          <cell r="B15">
            <v>2283873</v>
          </cell>
          <cell r="D15">
            <v>74352</v>
          </cell>
          <cell r="E15">
            <v>1895</v>
          </cell>
          <cell r="F15" t="str">
            <v>3 axillary buds, 1 terminal bud cluster, 1 little leaf</v>
          </cell>
          <cell r="G15" t="str">
            <v>yes, basal</v>
          </cell>
        </row>
        <row r="16">
          <cell r="B16">
            <v>2286564</v>
          </cell>
          <cell r="D16">
            <v>74343</v>
          </cell>
          <cell r="E16">
            <v>1897</v>
          </cell>
          <cell r="F16" t="str">
            <v>5 axillary buds</v>
          </cell>
          <cell r="G16" t="str">
            <v>yes, basal</v>
          </cell>
        </row>
        <row r="17">
          <cell r="B17" t="str">
            <v>NA</v>
          </cell>
          <cell r="D17">
            <v>74342</v>
          </cell>
          <cell r="E17">
            <v>1897</v>
          </cell>
          <cell r="F17" t="str">
            <v>2 axillary bud, 1 terminal bud</v>
          </cell>
          <cell r="G17" t="str">
            <v>yes, cauline w/ intermediate morphology</v>
          </cell>
        </row>
        <row r="18">
          <cell r="B18">
            <v>3511149</v>
          </cell>
          <cell r="D18" t="str">
            <v>JEPS53812</v>
          </cell>
          <cell r="E18">
            <v>1897</v>
          </cell>
          <cell r="F18" t="str">
            <v>4 terminal bud clusters</v>
          </cell>
          <cell r="G18" t="str">
            <v>yes, basal</v>
          </cell>
        </row>
        <row r="19">
          <cell r="B19">
            <v>3209072</v>
          </cell>
          <cell r="D19" t="str">
            <v>UC1206452</v>
          </cell>
          <cell r="E19">
            <v>1897</v>
          </cell>
          <cell r="F19" t="str">
            <v>4 bud clusters, little leaf</v>
          </cell>
          <cell r="G19" t="str">
            <v>yes, cauline with intermediate morphology</v>
          </cell>
        </row>
        <row r="20">
          <cell r="B20">
            <v>3308798</v>
          </cell>
          <cell r="D20" t="str">
            <v>UC220629</v>
          </cell>
          <cell r="E20">
            <v>1897</v>
          </cell>
          <cell r="F20" t="str">
            <v>2 axiallary buds, 2 bud clusters, 2 little leaves</v>
          </cell>
          <cell r="G20" t="str">
            <v>yes, basal</v>
          </cell>
        </row>
        <row r="21">
          <cell r="B21">
            <v>4981056</v>
          </cell>
          <cell r="D21" t="str">
            <v>US 299174</v>
          </cell>
          <cell r="E21">
            <v>1897</v>
          </cell>
        </row>
        <row r="22">
          <cell r="B22">
            <v>2342281</v>
          </cell>
          <cell r="D22">
            <v>74316</v>
          </cell>
          <cell r="E22">
            <v>1898</v>
          </cell>
          <cell r="F22" t="str">
            <v>1 axillary bud, 2 terminal bud cluster</v>
          </cell>
          <cell r="G22" t="str">
            <v xml:space="preserve">yes, cauline with basal morphology </v>
          </cell>
        </row>
        <row r="23">
          <cell r="B23">
            <v>2453178</v>
          </cell>
          <cell r="D23">
            <v>74219</v>
          </cell>
          <cell r="E23">
            <v>1900</v>
          </cell>
          <cell r="F23" t="str">
            <v>1 axiallary bud cluster, 1 apical bud cluster, mature leaf tissue</v>
          </cell>
          <cell r="G23" t="str">
            <v>yes, cauline with intermediate morphology</v>
          </cell>
        </row>
        <row r="24">
          <cell r="B24">
            <v>3452051</v>
          </cell>
          <cell r="D24" t="str">
            <v>UC10775</v>
          </cell>
          <cell r="E24">
            <v>1900</v>
          </cell>
          <cell r="F24" t="str">
            <v>1 axiallary bud cluster, 1 apical bud cluster</v>
          </cell>
          <cell r="G24" t="str">
            <v>yes, cauline, intermediate morphology</v>
          </cell>
        </row>
        <row r="25">
          <cell r="B25">
            <v>3464512</v>
          </cell>
          <cell r="D25" t="str">
            <v>UC10777</v>
          </cell>
          <cell r="E25">
            <v>1900</v>
          </cell>
          <cell r="F25" t="str">
            <v>2 apical bud clusters</v>
          </cell>
          <cell r="G25" t="str">
            <v>yes, cauline</v>
          </cell>
        </row>
        <row r="26">
          <cell r="B26">
            <v>3317219</v>
          </cell>
          <cell r="D26" t="str">
            <v>JEPS53816</v>
          </cell>
          <cell r="E26">
            <v>1901</v>
          </cell>
          <cell r="F26" t="str">
            <v>3 bud clusters, exra big bud</v>
          </cell>
          <cell r="G26" t="str">
            <v>yes, basal</v>
          </cell>
        </row>
        <row r="27">
          <cell r="B27">
            <v>3258364</v>
          </cell>
          <cell r="D27" t="str">
            <v>UC14322</v>
          </cell>
          <cell r="E27">
            <v>1901</v>
          </cell>
          <cell r="F27" t="str">
            <v>3 terminal bud clusters</v>
          </cell>
          <cell r="G27" t="str">
            <v>yes, cauline, intermediate morphology</v>
          </cell>
        </row>
        <row r="28">
          <cell r="B28">
            <v>3322372</v>
          </cell>
          <cell r="D28" t="str">
            <v>UC64347</v>
          </cell>
          <cell r="E28">
            <v>1901</v>
          </cell>
          <cell r="F28" t="str">
            <v>3 bud clusters and lil leaf</v>
          </cell>
          <cell r="G28" t="str">
            <v>yes, basal</v>
          </cell>
        </row>
        <row r="29">
          <cell r="B29">
            <v>229779</v>
          </cell>
          <cell r="D29" t="str">
            <v>UCSC100000692</v>
          </cell>
          <cell r="E29">
            <v>1901</v>
          </cell>
          <cell r="F29" t="str">
            <v>multiple axillary bud clusters + a few buds</v>
          </cell>
          <cell r="G29" t="str">
            <v>yes, cauline, not basal morphology</v>
          </cell>
        </row>
        <row r="30">
          <cell r="B30">
            <v>1312145</v>
          </cell>
          <cell r="D30" t="str">
            <v>DAV300682</v>
          </cell>
          <cell r="E30">
            <v>1902</v>
          </cell>
          <cell r="F30" t="str">
            <v>1 axillary, 1 terminal</v>
          </cell>
          <cell r="G30" t="str">
            <v xml:space="preserve">yes, cauline with cauline morphology </v>
          </cell>
        </row>
        <row r="31">
          <cell r="B31">
            <v>1311269</v>
          </cell>
          <cell r="D31" t="str">
            <v>DAV310392</v>
          </cell>
          <cell r="E31">
            <v>1902</v>
          </cell>
          <cell r="F31" t="str">
            <v>3 axiallary buds</v>
          </cell>
          <cell r="G31" t="str">
            <v>yes, basal</v>
          </cell>
        </row>
        <row r="32">
          <cell r="B32">
            <v>1312007</v>
          </cell>
          <cell r="D32" t="str">
            <v>DAV310391</v>
          </cell>
          <cell r="E32">
            <v>1902</v>
          </cell>
          <cell r="F32" t="str">
            <v>3 terminal bud clusters</v>
          </cell>
          <cell r="G32" t="str">
            <v xml:space="preserve">yes, cauline with cauline morphology </v>
          </cell>
        </row>
        <row r="33">
          <cell r="B33">
            <v>2271679</v>
          </cell>
          <cell r="D33">
            <v>74261</v>
          </cell>
          <cell r="E33">
            <v>1902</v>
          </cell>
          <cell r="F33" t="str">
            <v>2 axillary buds, 1 large bud terminal cluster</v>
          </cell>
          <cell r="G33" t="str">
            <v>yes, basal</v>
          </cell>
        </row>
        <row r="34">
          <cell r="B34">
            <v>2440540</v>
          </cell>
          <cell r="D34">
            <v>74278</v>
          </cell>
          <cell r="E34">
            <v>1902</v>
          </cell>
          <cell r="F34" t="str">
            <v>6 axillary buds</v>
          </cell>
          <cell r="G34" t="str">
            <v>yes, basal</v>
          </cell>
        </row>
        <row r="35">
          <cell r="B35">
            <v>3245328</v>
          </cell>
          <cell r="D35" t="str">
            <v>UC117496</v>
          </cell>
          <cell r="E35">
            <v>1902</v>
          </cell>
          <cell r="F35" t="str">
            <v>1 apical bud cluster</v>
          </cell>
          <cell r="G35" t="str">
            <v>yes, cauline</v>
          </cell>
        </row>
        <row r="36">
          <cell r="B36">
            <v>3212192</v>
          </cell>
          <cell r="D36" t="str">
            <v>UC56738</v>
          </cell>
          <cell r="E36">
            <v>1902</v>
          </cell>
          <cell r="F36" t="str">
            <v>2 apical bud clusters</v>
          </cell>
          <cell r="G36" t="str">
            <v>yes, basal</v>
          </cell>
        </row>
        <row r="37">
          <cell r="B37">
            <v>3382838</v>
          </cell>
          <cell r="D37" t="str">
            <v>UC56903</v>
          </cell>
          <cell r="E37">
            <v>1902</v>
          </cell>
          <cell r="F37" t="str">
            <v>4 bud clusters</v>
          </cell>
          <cell r="G37" t="str">
            <v>yes, basal</v>
          </cell>
        </row>
        <row r="38">
          <cell r="B38">
            <v>2302311</v>
          </cell>
          <cell r="D38">
            <v>74297</v>
          </cell>
          <cell r="E38">
            <v>1903</v>
          </cell>
          <cell r="F38" t="str">
            <v>1 terminal bud cluster</v>
          </cell>
          <cell r="G38" t="str">
            <v>yes, basal</v>
          </cell>
        </row>
        <row r="39">
          <cell r="B39">
            <v>2393985</v>
          </cell>
          <cell r="D39">
            <v>74296</v>
          </cell>
          <cell r="E39">
            <v>1903</v>
          </cell>
          <cell r="F39" t="str">
            <v>2 terminal bud clusters</v>
          </cell>
          <cell r="G39" t="str">
            <v>yes, basal morphology (unknown, from leaf packet)</v>
          </cell>
        </row>
        <row r="40">
          <cell r="B40">
            <v>2446662</v>
          </cell>
          <cell r="D40">
            <v>74295</v>
          </cell>
          <cell r="E40">
            <v>1903</v>
          </cell>
          <cell r="F40" t="str">
            <v>1 terminal bud cluster</v>
          </cell>
          <cell r="G40" t="str">
            <v>yes, basal morphology (unknown, from leaf packet)</v>
          </cell>
        </row>
        <row r="41">
          <cell r="B41">
            <v>4892598</v>
          </cell>
          <cell r="D41" t="str">
            <v>US 610713</v>
          </cell>
          <cell r="E41">
            <v>1903</v>
          </cell>
        </row>
        <row r="42">
          <cell r="B42">
            <v>2296541</v>
          </cell>
          <cell r="D42">
            <v>74177</v>
          </cell>
          <cell r="E42">
            <v>1904</v>
          </cell>
          <cell r="F42" t="str">
            <v>2 terminal bud clusters, 1 axiallary bud, loose buds</v>
          </cell>
          <cell r="G42" t="str">
            <v>yes, basal</v>
          </cell>
        </row>
        <row r="43">
          <cell r="B43">
            <v>3542265</v>
          </cell>
          <cell r="D43" t="str">
            <v>UC66740</v>
          </cell>
          <cell r="E43">
            <v>1904</v>
          </cell>
          <cell r="F43" t="str">
            <v>1 terminal bud cluster, 2 axiallary buds</v>
          </cell>
          <cell r="G43" t="str">
            <v>yes, basal</v>
          </cell>
        </row>
        <row r="44">
          <cell r="B44">
            <v>3400958</v>
          </cell>
          <cell r="D44" t="str">
            <v>UC69195</v>
          </cell>
          <cell r="E44">
            <v>1905</v>
          </cell>
          <cell r="F44" t="str">
            <v>3 bud clusters</v>
          </cell>
          <cell r="G44" t="str">
            <v>yes, cauline, intermediate morphology</v>
          </cell>
        </row>
        <row r="45">
          <cell r="B45">
            <v>3489775</v>
          </cell>
          <cell r="D45" t="str">
            <v>UC1199217</v>
          </cell>
          <cell r="E45">
            <v>1906</v>
          </cell>
          <cell r="F45" t="str">
            <v>2 axiallary buds, 2 terminal bud clusters</v>
          </cell>
          <cell r="G45" t="str">
            <v>yes, cauline, intermediate morphology</v>
          </cell>
        </row>
        <row r="46">
          <cell r="B46">
            <v>3468200</v>
          </cell>
          <cell r="D46" t="str">
            <v>UC455765</v>
          </cell>
          <cell r="E46">
            <v>1906</v>
          </cell>
          <cell r="F46" t="str">
            <v>3 axiallary bud clusters</v>
          </cell>
          <cell r="G46" t="str">
            <v>yes, basal</v>
          </cell>
        </row>
        <row r="47">
          <cell r="B47">
            <v>3257939</v>
          </cell>
          <cell r="D47" t="str">
            <v>UC127885</v>
          </cell>
          <cell r="E47">
            <v>1906</v>
          </cell>
          <cell r="F47" t="str">
            <v>2 axiallary buds, 1 bud cluster</v>
          </cell>
          <cell r="G47" t="str">
            <v>yes, cauline with basal morphology</v>
          </cell>
        </row>
        <row r="48">
          <cell r="B48">
            <v>4830361</v>
          </cell>
          <cell r="D48" t="str">
            <v>US 874348</v>
          </cell>
          <cell r="E48">
            <v>1906</v>
          </cell>
        </row>
        <row r="49">
          <cell r="B49">
            <v>2437901</v>
          </cell>
          <cell r="D49">
            <v>74235</v>
          </cell>
          <cell r="E49">
            <v>1907</v>
          </cell>
          <cell r="F49" t="str">
            <v>4 axillary buds</v>
          </cell>
          <cell r="G49" t="str">
            <v>yes, cauline with intermediate morphology</v>
          </cell>
        </row>
        <row r="50">
          <cell r="B50">
            <v>2300919</v>
          </cell>
          <cell r="D50">
            <v>74309</v>
          </cell>
          <cell r="E50">
            <v>1907</v>
          </cell>
          <cell r="F50" t="str">
            <v>2 axillary bud, 1 terminal bud, 1 little leaf</v>
          </cell>
          <cell r="G50" t="str">
            <v xml:space="preserve">yes, cauline with cauline morphology </v>
          </cell>
        </row>
        <row r="51">
          <cell r="B51">
            <v>2336172</v>
          </cell>
          <cell r="D51">
            <v>74305</v>
          </cell>
          <cell r="E51">
            <v>1907</v>
          </cell>
          <cell r="F51" t="str">
            <v>1 axillary bud, 2 terminal bud cluster, 1 little leaf</v>
          </cell>
          <cell r="G51" t="str">
            <v>yes, cauline w/ intermediate morphology</v>
          </cell>
        </row>
        <row r="52">
          <cell r="B52">
            <v>2316473</v>
          </cell>
          <cell r="D52">
            <v>74304</v>
          </cell>
          <cell r="E52">
            <v>1907</v>
          </cell>
          <cell r="F52" t="str">
            <v xml:space="preserve">1 mini axillary branch </v>
          </cell>
          <cell r="G52" t="str">
            <v>no</v>
          </cell>
        </row>
        <row r="53">
          <cell r="B53">
            <v>2390205</v>
          </cell>
          <cell r="D53">
            <v>74346</v>
          </cell>
          <cell r="E53">
            <v>1907</v>
          </cell>
          <cell r="F53" t="str">
            <v>3 axillary buds, 1 terminal bud cluster</v>
          </cell>
          <cell r="G53" t="str">
            <v xml:space="preserve">yes, cauline with cauline morphology </v>
          </cell>
        </row>
        <row r="54">
          <cell r="B54">
            <v>2465901</v>
          </cell>
          <cell r="D54">
            <v>74345</v>
          </cell>
          <cell r="E54">
            <v>1907</v>
          </cell>
          <cell r="F54" t="str">
            <v>2 axillary bud</v>
          </cell>
          <cell r="G54" t="str">
            <v>no</v>
          </cell>
        </row>
        <row r="55">
          <cell r="B55">
            <v>2340225</v>
          </cell>
          <cell r="D55">
            <v>74344</v>
          </cell>
          <cell r="E55">
            <v>1907</v>
          </cell>
          <cell r="F55" t="str">
            <v>4 axiallary buds</v>
          </cell>
          <cell r="G55" t="str">
            <v>yes, basal</v>
          </cell>
        </row>
        <row r="56">
          <cell r="B56">
            <v>202465</v>
          </cell>
          <cell r="D56" t="str">
            <v>OBI101786</v>
          </cell>
          <cell r="E56">
            <v>1908</v>
          </cell>
          <cell r="F56" t="str">
            <v>buds w extra</v>
          </cell>
          <cell r="G56" t="str">
            <v>yes, basal</v>
          </cell>
        </row>
        <row r="57">
          <cell r="B57">
            <v>3290499</v>
          </cell>
          <cell r="D57" t="str">
            <v>JEPS53817</v>
          </cell>
          <cell r="E57">
            <v>1908</v>
          </cell>
          <cell r="F57" t="str">
            <v>1 axiallary bud cluster, 2 bud clusters</v>
          </cell>
          <cell r="G57" t="str">
            <v>yes, cauline, intermediate morphology</v>
          </cell>
        </row>
        <row r="58">
          <cell r="B58">
            <v>2286003</v>
          </cell>
          <cell r="D58">
            <v>74303</v>
          </cell>
          <cell r="E58">
            <v>1910</v>
          </cell>
          <cell r="F58" t="str">
            <v>1 terminal bud cluster, 2 axillary buds</v>
          </cell>
          <cell r="G58" t="str">
            <v>no</v>
          </cell>
        </row>
        <row r="59">
          <cell r="B59">
            <v>2294495</v>
          </cell>
          <cell r="D59">
            <v>74302</v>
          </cell>
          <cell r="E59">
            <v>1910</v>
          </cell>
          <cell r="F59" t="str">
            <v>4 axillary buds</v>
          </cell>
          <cell r="G59" t="str">
            <v>yes, basal</v>
          </cell>
        </row>
        <row r="60">
          <cell r="B60">
            <v>2328808</v>
          </cell>
          <cell r="D60">
            <v>74301</v>
          </cell>
          <cell r="E60">
            <v>1910</v>
          </cell>
          <cell r="F60" t="str">
            <v>3 axillary bud, 1 little leaf</v>
          </cell>
          <cell r="G60" t="str">
            <v>yes, basal</v>
          </cell>
        </row>
        <row r="61">
          <cell r="B61">
            <v>2426166</v>
          </cell>
          <cell r="D61">
            <v>74363</v>
          </cell>
          <cell r="E61">
            <v>1912</v>
          </cell>
          <cell r="F61" t="str">
            <v>1 axillary bud, 1 terminal bud cluster, 1 little leaf</v>
          </cell>
          <cell r="G61" t="str">
            <v>yes, basal</v>
          </cell>
        </row>
        <row r="62">
          <cell r="B62">
            <v>2334928</v>
          </cell>
          <cell r="D62">
            <v>74198</v>
          </cell>
          <cell r="E62">
            <v>1913</v>
          </cell>
          <cell r="F62" t="str">
            <v>3 apical bud clusters, little leaf</v>
          </cell>
          <cell r="G62" t="str">
            <v xml:space="preserve">yes, cauline, with cauline morphology </v>
          </cell>
        </row>
        <row r="63">
          <cell r="B63">
            <v>4892287</v>
          </cell>
          <cell r="D63" t="str">
            <v>US 880131</v>
          </cell>
          <cell r="E63">
            <v>1913</v>
          </cell>
        </row>
        <row r="64">
          <cell r="B64">
            <v>5001849</v>
          </cell>
          <cell r="D64" t="str">
            <v>US 765571</v>
          </cell>
          <cell r="E64">
            <v>1913</v>
          </cell>
        </row>
        <row r="65">
          <cell r="B65">
            <v>1368006</v>
          </cell>
          <cell r="D65" t="str">
            <v>DAV310423</v>
          </cell>
          <cell r="E65">
            <v>1914</v>
          </cell>
          <cell r="F65" t="str">
            <v>6 axillary buds, 1 lil leaf</v>
          </cell>
          <cell r="G65" t="str">
            <v>yes, cauline with basal morphology</v>
          </cell>
        </row>
        <row r="66">
          <cell r="B66">
            <v>1368029</v>
          </cell>
          <cell r="D66" t="str">
            <v>DAV310407</v>
          </cell>
          <cell r="E66">
            <v>1914</v>
          </cell>
          <cell r="F66" t="str">
            <v>3 axiallary buds, 2 terminal bud clusters</v>
          </cell>
          <cell r="G66" t="str">
            <v>yes, cauline w/ intermediate morphology</v>
          </cell>
        </row>
        <row r="67">
          <cell r="B67">
            <v>1368028</v>
          </cell>
          <cell r="D67" t="str">
            <v>DAV310408</v>
          </cell>
          <cell r="E67">
            <v>1914</v>
          </cell>
          <cell r="F67" t="str">
            <v>3 large axillary bud cluster, 1 lil leaf</v>
          </cell>
          <cell r="G67" t="str">
            <v>yes, basal</v>
          </cell>
        </row>
        <row r="68">
          <cell r="B68">
            <v>2312024</v>
          </cell>
          <cell r="D68">
            <v>74263</v>
          </cell>
          <cell r="E68">
            <v>1914</v>
          </cell>
          <cell r="F68" t="str">
            <v>4 axiallary buds</v>
          </cell>
          <cell r="G68" t="str">
            <v>yes, basal</v>
          </cell>
        </row>
        <row r="69">
          <cell r="B69">
            <v>2465731</v>
          </cell>
          <cell r="D69">
            <v>74262</v>
          </cell>
          <cell r="E69">
            <v>1914</v>
          </cell>
          <cell r="F69" t="str">
            <v>2 terminal bud clusters, 1 axiallary bud</v>
          </cell>
          <cell r="G69" t="str">
            <v>yes, cauline with intermediate morphology</v>
          </cell>
        </row>
        <row r="70">
          <cell r="B70">
            <v>2457381</v>
          </cell>
          <cell r="D70">
            <v>74311</v>
          </cell>
          <cell r="E70">
            <v>1914</v>
          </cell>
          <cell r="F70" t="str">
            <v>3 axillary buds</v>
          </cell>
          <cell r="G70" t="str">
            <v xml:space="preserve">yes, cauline with cauline morphology </v>
          </cell>
        </row>
        <row r="71">
          <cell r="B71">
            <v>3430357</v>
          </cell>
          <cell r="D71" t="str">
            <v>UC203587</v>
          </cell>
          <cell r="E71">
            <v>1914</v>
          </cell>
          <cell r="F71" t="str">
            <v>2 bud clusters</v>
          </cell>
          <cell r="G71" t="str">
            <v>yes, cauline with intermediate morphology</v>
          </cell>
        </row>
        <row r="72">
          <cell r="B72">
            <v>469011</v>
          </cell>
          <cell r="D72" t="str">
            <v>SD00062802</v>
          </cell>
          <cell r="E72">
            <v>1915</v>
          </cell>
          <cell r="F72" t="str">
            <v>4 axiallary buds</v>
          </cell>
          <cell r="G72" t="str">
            <v xml:space="preserve">yes, cauline with cauline morphology </v>
          </cell>
        </row>
        <row r="73">
          <cell r="B73">
            <v>2336537</v>
          </cell>
          <cell r="D73">
            <v>74243</v>
          </cell>
          <cell r="E73">
            <v>1916</v>
          </cell>
          <cell r="F73" t="str">
            <v>3 axillary buds, 1 terminal bud cluster</v>
          </cell>
          <cell r="G73" t="str">
            <v>yes, basal, some glue on leaf</v>
          </cell>
        </row>
        <row r="74">
          <cell r="B74">
            <v>2363992</v>
          </cell>
          <cell r="D74">
            <v>74220</v>
          </cell>
          <cell r="E74">
            <v>1916</v>
          </cell>
          <cell r="F74" t="str">
            <v>1 axillary bud, 3 terminal bud clusters</v>
          </cell>
          <cell r="G74" t="str">
            <v>yes, cauline with basal morphology</v>
          </cell>
        </row>
        <row r="75">
          <cell r="B75">
            <v>1367990</v>
          </cell>
          <cell r="D75" t="str">
            <v>DAV300673</v>
          </cell>
          <cell r="E75">
            <v>1917</v>
          </cell>
          <cell r="F75" t="str">
            <v>5 axillary buds, little lf</v>
          </cell>
          <cell r="G75" t="str">
            <v>yes, cauline w/ intermediate morphology</v>
          </cell>
        </row>
        <row r="76">
          <cell r="B76">
            <v>1367991</v>
          </cell>
          <cell r="D76" t="str">
            <v>DAV310431</v>
          </cell>
          <cell r="E76">
            <v>1917</v>
          </cell>
          <cell r="F76" t="str">
            <v>4 axiallary buds</v>
          </cell>
          <cell r="G76" t="str">
            <v>yes, basal</v>
          </cell>
        </row>
        <row r="77">
          <cell r="B77">
            <v>1367992</v>
          </cell>
          <cell r="D77" t="str">
            <v>DAV310430</v>
          </cell>
          <cell r="E77">
            <v>1917</v>
          </cell>
          <cell r="F77" t="str">
            <v>4 axiallary buds, 1 terminal bud cluster</v>
          </cell>
          <cell r="G77" t="str">
            <v>yes, basal</v>
          </cell>
        </row>
        <row r="78">
          <cell r="B78">
            <v>3479651</v>
          </cell>
          <cell r="D78" t="str">
            <v>UC212638</v>
          </cell>
          <cell r="E78">
            <v>1917</v>
          </cell>
          <cell r="F78" t="str">
            <v>1 apical bud cluster</v>
          </cell>
          <cell r="G78" t="str">
            <v>yes, cauline, intermediate morphology</v>
          </cell>
        </row>
        <row r="79">
          <cell r="B79">
            <v>3479641</v>
          </cell>
          <cell r="D79" t="str">
            <v>UC212637</v>
          </cell>
          <cell r="E79">
            <v>1917</v>
          </cell>
          <cell r="F79" t="str">
            <v>2 bud clusters</v>
          </cell>
          <cell r="G79" t="str">
            <v>yes, cauline, intermediate morphology</v>
          </cell>
        </row>
        <row r="80">
          <cell r="B80">
            <v>2450948</v>
          </cell>
          <cell r="D80">
            <v>74210</v>
          </cell>
          <cell r="E80">
            <v>1919</v>
          </cell>
          <cell r="F80" t="str">
            <v>4 axillary buds</v>
          </cell>
          <cell r="G80" t="str">
            <v>yes, basal</v>
          </cell>
        </row>
        <row r="81">
          <cell r="B81">
            <v>2357521</v>
          </cell>
          <cell r="D81">
            <v>74241</v>
          </cell>
          <cell r="E81">
            <v>1919</v>
          </cell>
          <cell r="F81" t="str">
            <v>4 axillary buds, 1 little leaf</v>
          </cell>
          <cell r="G81" t="str">
            <v>yes, basal</v>
          </cell>
        </row>
        <row r="82">
          <cell r="B82">
            <v>4971847</v>
          </cell>
          <cell r="D82" t="str">
            <v>US 1201152</v>
          </cell>
          <cell r="E82">
            <v>1919</v>
          </cell>
        </row>
        <row r="83">
          <cell r="B83">
            <v>2385124</v>
          </cell>
          <cell r="D83">
            <v>74196</v>
          </cell>
          <cell r="E83">
            <v>1920</v>
          </cell>
          <cell r="F83" t="str">
            <v>2 terminal bud clusters, extra flower buds</v>
          </cell>
          <cell r="G83" t="str">
            <v>no</v>
          </cell>
        </row>
        <row r="84">
          <cell r="B84">
            <v>2368640</v>
          </cell>
          <cell r="D84">
            <v>74209</v>
          </cell>
          <cell r="E84">
            <v>1920</v>
          </cell>
          <cell r="F84" t="str">
            <v>several bud clusters</v>
          </cell>
          <cell r="G84" t="str">
            <v>yes, cauline with basal morphology</v>
          </cell>
        </row>
        <row r="85">
          <cell r="B85">
            <v>2398571</v>
          </cell>
          <cell r="D85">
            <v>74207</v>
          </cell>
          <cell r="E85">
            <v>1920</v>
          </cell>
          <cell r="F85" t="str">
            <v xml:space="preserve">3 axillary buds </v>
          </cell>
          <cell r="G85" t="str">
            <v>yes, basal</v>
          </cell>
        </row>
        <row r="86">
          <cell r="B86">
            <v>2342396</v>
          </cell>
          <cell r="D86">
            <v>74312</v>
          </cell>
          <cell r="E86">
            <v>1920</v>
          </cell>
          <cell r="F86" t="str">
            <v>3 axillary buds</v>
          </cell>
          <cell r="G86" t="str">
            <v>yes, basal</v>
          </cell>
        </row>
        <row r="87">
          <cell r="B87">
            <v>2401356</v>
          </cell>
          <cell r="D87">
            <v>74221</v>
          </cell>
          <cell r="E87">
            <v>1921</v>
          </cell>
          <cell r="F87" t="str">
            <v>2 axillary buds, 1 terminal bud cluster</v>
          </cell>
          <cell r="G87" t="str">
            <v>yes, basal</v>
          </cell>
        </row>
        <row r="88">
          <cell r="B88">
            <v>2446817</v>
          </cell>
          <cell r="D88">
            <v>74250</v>
          </cell>
          <cell r="E88">
            <v>1921</v>
          </cell>
          <cell r="F88" t="str">
            <v>4 axillary buds, 1 terminal bud cluster, 1 little leaf</v>
          </cell>
          <cell r="G88" t="str">
            <v>yes, cauline w/ intermediate morphology</v>
          </cell>
        </row>
        <row r="89">
          <cell r="B89">
            <v>2388593</v>
          </cell>
          <cell r="D89">
            <v>74249</v>
          </cell>
          <cell r="E89">
            <v>1921</v>
          </cell>
          <cell r="F89" t="str">
            <v>2 axillary buds</v>
          </cell>
          <cell r="G89" t="str">
            <v>yes, cauline w/ intermediate morphology</v>
          </cell>
        </row>
        <row r="90">
          <cell r="B90">
            <v>2352540</v>
          </cell>
          <cell r="D90">
            <v>74248</v>
          </cell>
          <cell r="E90">
            <v>1921</v>
          </cell>
          <cell r="F90" t="str">
            <v>4 axillary buds</v>
          </cell>
          <cell r="G90" t="str">
            <v>yes, cauline with basal morphology</v>
          </cell>
        </row>
        <row r="91">
          <cell r="B91">
            <v>2366181</v>
          </cell>
          <cell r="D91">
            <v>74247</v>
          </cell>
          <cell r="E91">
            <v>1921</v>
          </cell>
          <cell r="F91" t="str">
            <v>2 axillary buds</v>
          </cell>
          <cell r="G91" t="str">
            <v>yes, cauline with intermediate morphology</v>
          </cell>
        </row>
        <row r="92">
          <cell r="B92">
            <v>2322547</v>
          </cell>
          <cell r="D92">
            <v>74245</v>
          </cell>
          <cell r="E92">
            <v>1921</v>
          </cell>
          <cell r="F92" t="str">
            <v>3 axillary buds</v>
          </cell>
          <cell r="G92" t="str">
            <v>yes, cauline with intermediate morphology</v>
          </cell>
        </row>
        <row r="93">
          <cell r="B93">
            <v>2317066</v>
          </cell>
          <cell r="D93">
            <v>74244</v>
          </cell>
          <cell r="E93">
            <v>1921</v>
          </cell>
          <cell r="F93" t="str">
            <v>3 axillary buds</v>
          </cell>
          <cell r="G93" t="str">
            <v>yes, cauline with intermediate morphology</v>
          </cell>
        </row>
        <row r="94">
          <cell r="B94">
            <v>2331781</v>
          </cell>
          <cell r="D94">
            <v>74362</v>
          </cell>
          <cell r="E94">
            <v>1921</v>
          </cell>
          <cell r="F94" t="str">
            <v>2 axillary bud, 1 terminal bud cluster</v>
          </cell>
          <cell r="G94" t="str">
            <v xml:space="preserve">yes, cauline with cauline morphology </v>
          </cell>
        </row>
        <row r="95">
          <cell r="B95">
            <v>2413972</v>
          </cell>
          <cell r="D95">
            <v>74264</v>
          </cell>
          <cell r="E95">
            <v>1923</v>
          </cell>
          <cell r="F95" t="str">
            <v xml:space="preserve">tiny leaf and apical meristeam </v>
          </cell>
          <cell r="G95" t="str">
            <v xml:space="preserve">yes, basal </v>
          </cell>
        </row>
        <row r="96">
          <cell r="B96">
            <v>2395018</v>
          </cell>
          <cell r="D96">
            <v>74260</v>
          </cell>
          <cell r="E96">
            <v>1924</v>
          </cell>
          <cell r="F96" t="str">
            <v>4 axillary bud clusters</v>
          </cell>
          <cell r="G96" t="str">
            <v xml:space="preserve">yes, cauline with basal morphology </v>
          </cell>
        </row>
        <row r="97">
          <cell r="B97">
            <v>2311023</v>
          </cell>
          <cell r="D97">
            <v>74259</v>
          </cell>
          <cell r="E97">
            <v>1925</v>
          </cell>
          <cell r="F97" t="str">
            <v>3 axillary buds</v>
          </cell>
          <cell r="G97" t="str">
            <v>yes, cauline with basal morphology</v>
          </cell>
        </row>
        <row r="98">
          <cell r="B98">
            <v>2288164</v>
          </cell>
          <cell r="D98">
            <v>74192</v>
          </cell>
          <cell r="E98">
            <v>1926</v>
          </cell>
          <cell r="F98" t="str">
            <v>leaf</v>
          </cell>
          <cell r="G98" t="str">
            <v>no</v>
          </cell>
        </row>
        <row r="99">
          <cell r="B99">
            <v>468984</v>
          </cell>
          <cell r="D99" t="str">
            <v>SD00062713</v>
          </cell>
          <cell r="E99">
            <v>1927</v>
          </cell>
          <cell r="F99" t="str">
            <v>4 axillary buds, 2 apical bud clusters, lil leaf, extra buds</v>
          </cell>
          <cell r="G99" t="str">
            <v>yes, basal</v>
          </cell>
        </row>
        <row r="100">
          <cell r="B100">
            <v>141265</v>
          </cell>
          <cell r="D100" t="str">
            <v>SBBG213823</v>
          </cell>
          <cell r="E100">
            <v>1927</v>
          </cell>
          <cell r="F100" t="str">
            <v>4 axiallary buds, 1 terminal bud cluster, 1 leaf</v>
          </cell>
          <cell r="G100" t="str">
            <v xml:space="preserve">yes, cauline with cauline morphology </v>
          </cell>
        </row>
        <row r="101">
          <cell r="B101">
            <v>1368053</v>
          </cell>
          <cell r="D101" t="str">
            <v>DAV310402</v>
          </cell>
          <cell r="E101">
            <v>1927</v>
          </cell>
          <cell r="F101" t="str">
            <v>6 axillary buds, 1 lil leaf</v>
          </cell>
          <cell r="G101" t="str">
            <v>yes, cauline w/ intermediate morphology</v>
          </cell>
        </row>
        <row r="102">
          <cell r="B102">
            <v>2431017</v>
          </cell>
          <cell r="D102">
            <v>74222</v>
          </cell>
          <cell r="E102">
            <v>1927</v>
          </cell>
          <cell r="F102" t="str">
            <v>1 axillary bud, 1 terminal bud cluster, 1 little leaf</v>
          </cell>
          <cell r="G102" t="str">
            <v>yes, cauline with intermediate morphology</v>
          </cell>
        </row>
        <row r="103">
          <cell r="B103">
            <v>2386302</v>
          </cell>
          <cell r="D103">
            <v>74329</v>
          </cell>
          <cell r="E103">
            <v>1927</v>
          </cell>
          <cell r="F103" t="str">
            <v>3 terminal  bud clusters</v>
          </cell>
          <cell r="G103" t="str">
            <v xml:space="preserve">yes, cauline with cauline morphology </v>
          </cell>
        </row>
        <row r="104">
          <cell r="B104">
            <v>375698</v>
          </cell>
          <cell r="D104" t="str">
            <v>SDSU01221</v>
          </cell>
          <cell r="E104">
            <v>1927</v>
          </cell>
          <cell r="F104" t="str">
            <v>multiple axillary bud clusters</v>
          </cell>
          <cell r="G104" t="str">
            <v>yes, cauline with basal morphology</v>
          </cell>
        </row>
        <row r="105">
          <cell r="B105">
            <v>3499442</v>
          </cell>
          <cell r="D105" t="str">
            <v>JEPS53815</v>
          </cell>
          <cell r="E105">
            <v>1927</v>
          </cell>
          <cell r="F105" t="str">
            <v>7 bud clusters, little leaf</v>
          </cell>
          <cell r="G105" t="str">
            <v>yes, basal</v>
          </cell>
        </row>
        <row r="106">
          <cell r="B106">
            <v>83203</v>
          </cell>
          <cell r="D106" t="str">
            <v>SBBG213838</v>
          </cell>
          <cell r="E106">
            <v>1928</v>
          </cell>
          <cell r="F106" t="str">
            <v>4 bud clusters</v>
          </cell>
          <cell r="G106" t="str">
            <v>yes, cauline with basal morphology</v>
          </cell>
        </row>
        <row r="107">
          <cell r="B107">
            <v>1368002</v>
          </cell>
          <cell r="D107" t="str">
            <v>DAV310416</v>
          </cell>
          <cell r="E107">
            <v>1929</v>
          </cell>
          <cell r="F107" t="str">
            <v>SD00062793</v>
          </cell>
          <cell r="G107" t="str">
            <v>yes, cauline with basal morphology</v>
          </cell>
        </row>
        <row r="108">
          <cell r="B108">
            <v>3792158</v>
          </cell>
          <cell r="D108" t="str">
            <v>FSC0010443</v>
          </cell>
          <cell r="E108">
            <v>1929</v>
          </cell>
          <cell r="F108" t="str">
            <v>3 axillary buds and one young leaf</v>
          </cell>
          <cell r="G108" t="str">
            <v>yes, cauline with basal morphology</v>
          </cell>
        </row>
        <row r="109">
          <cell r="B109">
            <v>3792196</v>
          </cell>
          <cell r="D109" t="str">
            <v>FSC0010481</v>
          </cell>
          <cell r="E109">
            <v>1929</v>
          </cell>
          <cell r="F109" t="str">
            <v>3 buds and some leaf bits</v>
          </cell>
          <cell r="G109" t="str">
            <v>yes, basal</v>
          </cell>
        </row>
        <row r="110">
          <cell r="B110">
            <v>73443</v>
          </cell>
          <cell r="D110" t="str">
            <v>SBBG213811</v>
          </cell>
          <cell r="E110">
            <v>1930</v>
          </cell>
          <cell r="F110" t="str">
            <v>3 axillary buds</v>
          </cell>
          <cell r="G110" t="str">
            <v>yes, cauline with basal morphology</v>
          </cell>
        </row>
        <row r="111">
          <cell r="B111">
            <v>1368057</v>
          </cell>
          <cell r="D111" t="str">
            <v>DAV310399</v>
          </cell>
          <cell r="E111">
            <v>1930</v>
          </cell>
          <cell r="F111" t="str">
            <v>3 terminal  bud clusters</v>
          </cell>
          <cell r="G111" t="str">
            <v>no</v>
          </cell>
        </row>
        <row r="112">
          <cell r="B112">
            <v>2463835</v>
          </cell>
          <cell r="D112">
            <v>74205</v>
          </cell>
          <cell r="E112">
            <v>1930</v>
          </cell>
          <cell r="F112" t="str">
            <v>2 axillary buds, 1 terminal bud cluster, a few loose buds</v>
          </cell>
          <cell r="G112" t="str">
            <v>yes, cauline</v>
          </cell>
        </row>
        <row r="113">
          <cell r="B113">
            <v>2408641</v>
          </cell>
          <cell r="D113">
            <v>74267</v>
          </cell>
          <cell r="E113">
            <v>1930</v>
          </cell>
          <cell r="F113" t="str">
            <v>3 terminal  bud clusters</v>
          </cell>
          <cell r="G113" t="str">
            <v>yes, basal</v>
          </cell>
        </row>
        <row r="114">
          <cell r="B114">
            <v>469005</v>
          </cell>
          <cell r="D114" t="str">
            <v>SD00062739</v>
          </cell>
          <cell r="E114">
            <v>1930</v>
          </cell>
          <cell r="F114" t="str">
            <v>one apical bud cluster</v>
          </cell>
          <cell r="G114" t="str">
            <v>no</v>
          </cell>
        </row>
        <row r="115">
          <cell r="B115">
            <v>3260290</v>
          </cell>
          <cell r="D115" t="str">
            <v>UC407038</v>
          </cell>
          <cell r="E115">
            <v>1930</v>
          </cell>
          <cell r="F115" t="str">
            <v>2 big bud clusters</v>
          </cell>
          <cell r="G115" t="str">
            <v>yes, basal</v>
          </cell>
        </row>
        <row r="116">
          <cell r="B116">
            <v>3334730</v>
          </cell>
          <cell r="D116" t="str">
            <v>UC650429</v>
          </cell>
          <cell r="E116">
            <v>1930</v>
          </cell>
          <cell r="F116" t="str">
            <v>3 bud clusters</v>
          </cell>
          <cell r="G116" t="str">
            <v>yes, basal</v>
          </cell>
        </row>
        <row r="117">
          <cell r="B117">
            <v>468988</v>
          </cell>
          <cell r="D117" t="str">
            <v>SD00062800</v>
          </cell>
          <cell r="E117">
            <v>1931</v>
          </cell>
          <cell r="F117" t="str">
            <v>4 axiallary buds, small leaves</v>
          </cell>
          <cell r="G117" t="str">
            <v>yes, cauline with basal morphology</v>
          </cell>
        </row>
        <row r="118">
          <cell r="B118">
            <v>468996</v>
          </cell>
          <cell r="D118" t="str">
            <v>SD00062799</v>
          </cell>
          <cell r="E118">
            <v>1931</v>
          </cell>
          <cell r="F118" t="str">
            <v>1 axiallary bud, several small leaves, 1 terminal floral bud cluster</v>
          </cell>
          <cell r="G118" t="str">
            <v>yes, basal</v>
          </cell>
        </row>
        <row r="119">
          <cell r="B119">
            <v>468995</v>
          </cell>
          <cell r="D119" t="str">
            <v>SD00062714</v>
          </cell>
          <cell r="E119">
            <v>1932</v>
          </cell>
          <cell r="F119" t="str">
            <v>6 axillary buds, 1 big multibud cluster with glue</v>
          </cell>
          <cell r="G119" t="str">
            <v>yes, cauline with basal morphology</v>
          </cell>
        </row>
        <row r="120">
          <cell r="B120">
            <v>1368001</v>
          </cell>
          <cell r="D120" t="str">
            <v>DAV310417</v>
          </cell>
          <cell r="E120">
            <v>1932</v>
          </cell>
          <cell r="F120" t="str">
            <v>4 axiallary buds, 1 lil leaf</v>
          </cell>
          <cell r="G120" t="str">
            <v>yes, basal</v>
          </cell>
        </row>
        <row r="121">
          <cell r="B121">
            <v>2384991</v>
          </cell>
          <cell r="D121">
            <v>74230</v>
          </cell>
          <cell r="E121">
            <v>1932</v>
          </cell>
          <cell r="F121" t="str">
            <v>3 axillary buds</v>
          </cell>
          <cell r="G121" t="str">
            <v>yes, basal</v>
          </cell>
        </row>
        <row r="122">
          <cell r="B122">
            <v>2449627</v>
          </cell>
          <cell r="D122">
            <v>74280</v>
          </cell>
          <cell r="E122">
            <v>1932</v>
          </cell>
          <cell r="F122" t="str">
            <v>5 terminal bud clusters</v>
          </cell>
          <cell r="G122" t="str">
            <v xml:space="preserve">yes, cauline with basal morphology </v>
          </cell>
        </row>
        <row r="123">
          <cell r="B123">
            <v>2440492</v>
          </cell>
          <cell r="D123">
            <v>74279</v>
          </cell>
          <cell r="E123">
            <v>1932</v>
          </cell>
          <cell r="F123" t="str">
            <v>3 axillary buds, 1 terminal bud cluster</v>
          </cell>
          <cell r="G123" t="str">
            <v>yes, cauline with intermediate morphology</v>
          </cell>
        </row>
        <row r="124">
          <cell r="B124">
            <v>468998</v>
          </cell>
          <cell r="D124" t="str">
            <v>SD00062791</v>
          </cell>
          <cell r="E124">
            <v>1932</v>
          </cell>
          <cell r="F124" t="str">
            <v>some small flower buds, tiny axillary bud, one floral meristem</v>
          </cell>
          <cell r="G124" t="str">
            <v>yes, cauline, some glue present</v>
          </cell>
        </row>
        <row r="125">
          <cell r="B125">
            <v>468997</v>
          </cell>
          <cell r="D125" t="str">
            <v>SD00062792</v>
          </cell>
          <cell r="E125">
            <v>1932</v>
          </cell>
          <cell r="F125" t="str">
            <v>1 axillary bud; 2 floral bud clusters; loose buds</v>
          </cell>
          <cell r="G125" t="str">
            <v>yes, cauline</v>
          </cell>
        </row>
        <row r="126">
          <cell r="B126">
            <v>468994</v>
          </cell>
          <cell r="D126" t="str">
            <v>SD00062794</v>
          </cell>
          <cell r="E126">
            <v>1932</v>
          </cell>
          <cell r="F126" t="str">
            <v>2 axiallary buds, small leaf</v>
          </cell>
          <cell r="G126" t="str">
            <v>yes, cauline</v>
          </cell>
        </row>
        <row r="127">
          <cell r="B127">
            <v>3224405</v>
          </cell>
          <cell r="D127" t="str">
            <v>UC589365</v>
          </cell>
          <cell r="E127">
            <v>1932</v>
          </cell>
          <cell r="F127" t="str">
            <v>4 bud clusters</v>
          </cell>
          <cell r="G127" t="str">
            <v>yes, cauline with basal morphology</v>
          </cell>
        </row>
        <row r="128">
          <cell r="B128">
            <v>3358215</v>
          </cell>
          <cell r="D128" t="str">
            <v>UC519997</v>
          </cell>
          <cell r="E128">
            <v>1932</v>
          </cell>
          <cell r="F128" t="str">
            <v>3 bud clusters</v>
          </cell>
          <cell r="G128" t="str">
            <v>yes, basal</v>
          </cell>
        </row>
        <row r="129">
          <cell r="B129">
            <v>3272683</v>
          </cell>
          <cell r="D129" t="str">
            <v>UC520022</v>
          </cell>
          <cell r="E129">
            <v>1932</v>
          </cell>
          <cell r="F129" t="str">
            <v>several bud clusters</v>
          </cell>
          <cell r="G129" t="str">
            <v>yes, basal</v>
          </cell>
        </row>
        <row r="130">
          <cell r="B130">
            <v>1368035</v>
          </cell>
          <cell r="D130" t="str">
            <v>DAV310410</v>
          </cell>
          <cell r="E130">
            <v>1933</v>
          </cell>
          <cell r="F130" t="str">
            <v>7 axillary buds</v>
          </cell>
          <cell r="G130" t="str">
            <v xml:space="preserve">yes, basal </v>
          </cell>
        </row>
        <row r="131">
          <cell r="B131">
            <v>468993</v>
          </cell>
          <cell r="D131" t="str">
            <v>SD00062793</v>
          </cell>
          <cell r="E131">
            <v>1933</v>
          </cell>
          <cell r="F131" t="str">
            <v>few floral bud clusters</v>
          </cell>
          <cell r="G131" t="str">
            <v>yes, cauline</v>
          </cell>
        </row>
        <row r="132">
          <cell r="B132">
            <v>3492727</v>
          </cell>
          <cell r="D132" t="str">
            <v>UC521694</v>
          </cell>
          <cell r="E132">
            <v>1933</v>
          </cell>
          <cell r="F132" t="str">
            <v>3 bud clusters</v>
          </cell>
          <cell r="G132" t="str">
            <v>yes, cauline with intermediate morphology</v>
          </cell>
        </row>
        <row r="133">
          <cell r="B133">
            <v>3792171</v>
          </cell>
          <cell r="D133" t="str">
            <v>FSC0010456</v>
          </cell>
          <cell r="E133">
            <v>1934</v>
          </cell>
          <cell r="F133" t="str">
            <v>3 bud clusters</v>
          </cell>
          <cell r="G133" t="str">
            <v>yes, cauline, not basal morphology</v>
          </cell>
        </row>
        <row r="134">
          <cell r="B134">
            <v>468990</v>
          </cell>
          <cell r="D134" t="str">
            <v>SD00062715</v>
          </cell>
          <cell r="E134">
            <v>1934</v>
          </cell>
          <cell r="F134" t="str">
            <v>2-3 axillary buds</v>
          </cell>
          <cell r="G134" t="str">
            <v>yes, basal</v>
          </cell>
        </row>
        <row r="135">
          <cell r="B135">
            <v>3377055</v>
          </cell>
          <cell r="D135" t="str">
            <v>JEPS53819</v>
          </cell>
          <cell r="E135">
            <v>1934</v>
          </cell>
          <cell r="F135" t="str">
            <v>3 axiallary buds</v>
          </cell>
          <cell r="G135" t="str">
            <v>yes, cauline, intermediate morphology</v>
          </cell>
        </row>
        <row r="136">
          <cell r="B136">
            <v>3417594</v>
          </cell>
          <cell r="D136" t="str">
            <v>UC1614555</v>
          </cell>
          <cell r="E136">
            <v>1934</v>
          </cell>
          <cell r="F136" t="str">
            <v>4 bud clusters</v>
          </cell>
          <cell r="G136" t="str">
            <v>yes, cauline, intermediate morphology</v>
          </cell>
        </row>
        <row r="137">
          <cell r="B137">
            <v>3379131</v>
          </cell>
          <cell r="D137" t="str">
            <v>UC1126745</v>
          </cell>
          <cell r="E137">
            <v>1934</v>
          </cell>
          <cell r="F137" t="str">
            <v>2 axiallary buds, 2 bud clusters</v>
          </cell>
          <cell r="G137" t="str">
            <v>yes, cauline with basal morphology</v>
          </cell>
        </row>
        <row r="138">
          <cell r="B138">
            <v>3550026</v>
          </cell>
          <cell r="D138" t="str">
            <v>UC1126746</v>
          </cell>
          <cell r="E138">
            <v>1934</v>
          </cell>
          <cell r="F138" t="str">
            <v>5 bud clusters</v>
          </cell>
          <cell r="G138" t="str">
            <v>yes, cauline with basal morphology</v>
          </cell>
        </row>
        <row r="139">
          <cell r="B139">
            <v>469026</v>
          </cell>
          <cell r="D139" t="str">
            <v>SD00062737</v>
          </cell>
          <cell r="E139">
            <v>1935</v>
          </cell>
          <cell r="F139" t="str">
            <v>5 axillary buds</v>
          </cell>
          <cell r="G139" t="str">
            <v>yes, cauline w/ intermediate morphology</v>
          </cell>
        </row>
        <row r="140">
          <cell r="B140">
            <v>468992</v>
          </cell>
          <cell r="D140" t="str">
            <v>SD00062717</v>
          </cell>
          <cell r="E140">
            <v>1935</v>
          </cell>
          <cell r="F140" t="str">
            <v>3 axillary buds, 3 terminal bud cluster</v>
          </cell>
          <cell r="G140" t="str">
            <v>yes, cauline w/ intermediate morphology</v>
          </cell>
        </row>
        <row r="141">
          <cell r="B141">
            <v>468964</v>
          </cell>
          <cell r="D141" t="str">
            <v>SD00062718</v>
          </cell>
          <cell r="E141">
            <v>1935</v>
          </cell>
          <cell r="F141" t="str">
            <v>4 axiallary buds, 1 terminal bud cluster, 1 leaf</v>
          </cell>
          <cell r="G141" t="str">
            <v>yes, basal</v>
          </cell>
        </row>
        <row r="142">
          <cell r="B142">
            <v>468991</v>
          </cell>
          <cell r="D142" t="str">
            <v>SD00062716</v>
          </cell>
          <cell r="E142">
            <v>1935</v>
          </cell>
          <cell r="F142" t="str">
            <v>3 axillary bud, 1 terminal bud cluster, 1 little leaf</v>
          </cell>
          <cell r="G142" t="str">
            <v>yes, basal</v>
          </cell>
        </row>
        <row r="143">
          <cell r="B143">
            <v>2061482</v>
          </cell>
          <cell r="D143" t="str">
            <v>CHSC000533</v>
          </cell>
          <cell r="E143">
            <v>1935</v>
          </cell>
          <cell r="F143" t="str">
            <v>3 axillary bud, 1 little leaf</v>
          </cell>
          <cell r="G143" t="str">
            <v xml:space="preserve">yes, basal </v>
          </cell>
        </row>
        <row r="144">
          <cell r="B144">
            <v>3462399</v>
          </cell>
          <cell r="D144" t="str">
            <v>JEPS54284</v>
          </cell>
          <cell r="E144">
            <v>1935</v>
          </cell>
          <cell r="F144" t="str">
            <v>3 bud clusters, 2 little leaves</v>
          </cell>
          <cell r="G144" t="str">
            <v>yes, basal</v>
          </cell>
        </row>
        <row r="145">
          <cell r="B145">
            <v>3262100</v>
          </cell>
          <cell r="D145" t="str">
            <v>UC765025</v>
          </cell>
          <cell r="E145">
            <v>1935</v>
          </cell>
          <cell r="F145" t="str">
            <v>4 bud clusters</v>
          </cell>
          <cell r="G145" t="str">
            <v>yes, basal</v>
          </cell>
        </row>
        <row r="146">
          <cell r="B146">
            <v>3335398</v>
          </cell>
          <cell r="D146" t="str">
            <v>UC765016</v>
          </cell>
          <cell r="E146">
            <v>1935</v>
          </cell>
          <cell r="F146" t="str">
            <v>3 bud clusters</v>
          </cell>
          <cell r="G146" t="str">
            <v>yes, basal</v>
          </cell>
        </row>
        <row r="147">
          <cell r="B147">
            <v>3525429</v>
          </cell>
          <cell r="D147" t="str">
            <v>UC1126748</v>
          </cell>
          <cell r="E147">
            <v>1935</v>
          </cell>
          <cell r="F147" t="str">
            <v>2 terminal bud clusters</v>
          </cell>
          <cell r="G147" t="str">
            <v>no</v>
          </cell>
        </row>
        <row r="148">
          <cell r="B148">
            <v>3562157</v>
          </cell>
          <cell r="D148" t="str">
            <v>UC1126747</v>
          </cell>
          <cell r="E148">
            <v>1935</v>
          </cell>
          <cell r="F148" t="str">
            <v>2 terminal bud clusters, 1 axiallary bud</v>
          </cell>
          <cell r="G148" t="str">
            <v>yes, cauline with basal morphology</v>
          </cell>
        </row>
        <row r="149">
          <cell r="B149">
            <v>3433650</v>
          </cell>
          <cell r="D149" t="str">
            <v>UC1126749</v>
          </cell>
          <cell r="E149">
            <v>1935</v>
          </cell>
          <cell r="F149" t="str">
            <v>3 terminal bud clusters</v>
          </cell>
          <cell r="G149" t="str">
            <v>yes, cauline, intermediate morphology</v>
          </cell>
        </row>
        <row r="150">
          <cell r="B150">
            <v>3563575</v>
          </cell>
          <cell r="D150" t="str">
            <v>UC1536931</v>
          </cell>
          <cell r="E150">
            <v>1935</v>
          </cell>
          <cell r="F150" t="str">
            <v>3 bud clusters</v>
          </cell>
          <cell r="G150" t="str">
            <v>yes, cauline, intermediate morphology</v>
          </cell>
        </row>
        <row r="151">
          <cell r="B151">
            <v>3366934</v>
          </cell>
          <cell r="D151" t="str">
            <v>UC1126750</v>
          </cell>
          <cell r="E151">
            <v>1935</v>
          </cell>
          <cell r="F151" t="str">
            <v>2 terminal bud clusters, 2 axiallary buds, little leaf</v>
          </cell>
          <cell r="G151" t="str">
            <v xml:space="preserve">yes, cauline </v>
          </cell>
        </row>
        <row r="152">
          <cell r="B152">
            <v>3444193</v>
          </cell>
          <cell r="D152" t="str">
            <v>UC596419</v>
          </cell>
          <cell r="E152">
            <v>1935</v>
          </cell>
          <cell r="F152" t="str">
            <v>4 bud clusters</v>
          </cell>
          <cell r="G152" t="str">
            <v>yes, cauline with basal morphology</v>
          </cell>
        </row>
        <row r="153">
          <cell r="B153">
            <v>3306212</v>
          </cell>
          <cell r="D153" t="str">
            <v>UC1126752</v>
          </cell>
          <cell r="E153">
            <v>1935</v>
          </cell>
          <cell r="F153" t="str">
            <v>4 terminal bud clusters</v>
          </cell>
          <cell r="G153" t="str">
            <v>yes, cauline</v>
          </cell>
        </row>
        <row r="154">
          <cell r="B154">
            <v>4940224</v>
          </cell>
          <cell r="D154" t="str">
            <v>US 2000728</v>
          </cell>
          <cell r="E154">
            <v>1935</v>
          </cell>
        </row>
        <row r="155">
          <cell r="B155">
            <v>468966</v>
          </cell>
          <cell r="D155" t="str">
            <v>SD00062754</v>
          </cell>
          <cell r="E155">
            <v>1936</v>
          </cell>
          <cell r="F155" t="str">
            <v>4 axiallary buds</v>
          </cell>
          <cell r="G155" t="str">
            <v>yes, basal</v>
          </cell>
        </row>
        <row r="156">
          <cell r="B156">
            <v>468968</v>
          </cell>
          <cell r="D156" t="str">
            <v>SD00062672</v>
          </cell>
          <cell r="E156">
            <v>1936</v>
          </cell>
          <cell r="F156" t="str">
            <v>4 axiallary buds</v>
          </cell>
          <cell r="G156" t="str">
            <v xml:space="preserve">yes, cauline with cauline morphology </v>
          </cell>
        </row>
        <row r="157">
          <cell r="B157">
            <v>468971</v>
          </cell>
          <cell r="D157" t="str">
            <v>SD00062678</v>
          </cell>
          <cell r="E157">
            <v>1936</v>
          </cell>
          <cell r="F157" t="str">
            <v>5 axillary buds</v>
          </cell>
          <cell r="G157" t="str">
            <v>yes, basal</v>
          </cell>
        </row>
        <row r="158">
          <cell r="B158">
            <v>468967</v>
          </cell>
          <cell r="D158" t="str">
            <v>SD00062673</v>
          </cell>
          <cell r="E158">
            <v>1936</v>
          </cell>
          <cell r="F158" t="str">
            <v>4 axiallary buds</v>
          </cell>
          <cell r="G158" t="str">
            <v>yes, basal</v>
          </cell>
        </row>
        <row r="159">
          <cell r="B159">
            <v>468975</v>
          </cell>
          <cell r="D159" t="str">
            <v>SD00062674</v>
          </cell>
          <cell r="E159">
            <v>1936</v>
          </cell>
          <cell r="F159" t="str">
            <v>4 axiallary buds</v>
          </cell>
          <cell r="G159" t="str">
            <v>yes, basal</v>
          </cell>
        </row>
        <row r="160">
          <cell r="B160">
            <v>2293307</v>
          </cell>
          <cell r="D160">
            <v>74183</v>
          </cell>
          <cell r="E160">
            <v>1936</v>
          </cell>
          <cell r="F160" t="str">
            <v>1 axillary bud, 2 terminal bud cluster, several loose flower buds</v>
          </cell>
          <cell r="G160" t="str">
            <v xml:space="preserve">yes, cauline, with cauline morphology </v>
          </cell>
        </row>
        <row r="161">
          <cell r="B161" t="str">
            <v>NA</v>
          </cell>
          <cell r="D161">
            <v>911736</v>
          </cell>
          <cell r="E161">
            <v>1936</v>
          </cell>
          <cell r="F161" t="str">
            <v>1 large terminal bud cluster, 1 axillary bud, 1 little leaf</v>
          </cell>
          <cell r="G161" t="str">
            <v xml:space="preserve">yes, cauline with basal morphology </v>
          </cell>
        </row>
        <row r="162">
          <cell r="B162">
            <v>2338864</v>
          </cell>
          <cell r="D162">
            <v>74333</v>
          </cell>
          <cell r="E162">
            <v>1936</v>
          </cell>
          <cell r="F162" t="str">
            <v>4 terminal bud clusters</v>
          </cell>
          <cell r="G162" t="str">
            <v>no</v>
          </cell>
        </row>
        <row r="163">
          <cell r="B163">
            <v>468970</v>
          </cell>
          <cell r="D163" t="str">
            <v>SD00062671</v>
          </cell>
          <cell r="E163">
            <v>1936</v>
          </cell>
          <cell r="F163" t="str">
            <v>bud clusters and yound leaves</v>
          </cell>
          <cell r="G163" t="str">
            <v>yes, basal</v>
          </cell>
        </row>
        <row r="164">
          <cell r="B164">
            <v>3737681</v>
          </cell>
          <cell r="D164" t="str">
            <v>SD00062562</v>
          </cell>
          <cell r="E164">
            <v>1936</v>
          </cell>
          <cell r="F164" t="str">
            <v>2 big axiallary bud clusters</v>
          </cell>
          <cell r="G164" t="str">
            <v>yes, intermediate</v>
          </cell>
        </row>
        <row r="165">
          <cell r="B165">
            <v>468972</v>
          </cell>
          <cell r="D165" t="str">
            <v>SD00062564</v>
          </cell>
          <cell r="E165">
            <v>1936</v>
          </cell>
          <cell r="F165" t="str">
            <v>1 axiallary bud, 2 floral bud clusters, small leaf</v>
          </cell>
          <cell r="G165" t="str">
            <v>yes, basal</v>
          </cell>
        </row>
        <row r="166">
          <cell r="B166">
            <v>468974</v>
          </cell>
          <cell r="D166" t="str">
            <v>SD00062679</v>
          </cell>
          <cell r="E166">
            <v>1936</v>
          </cell>
          <cell r="F166" t="str">
            <v>2 bud clusters</v>
          </cell>
          <cell r="G166" t="str">
            <v>yes, basal</v>
          </cell>
        </row>
        <row r="167">
          <cell r="B167">
            <v>468973</v>
          </cell>
          <cell r="D167" t="str">
            <v>SD00062553</v>
          </cell>
          <cell r="E167">
            <v>1936</v>
          </cell>
          <cell r="F167" t="str">
            <v>4 axillary buds</v>
          </cell>
          <cell r="G167" t="str">
            <v>yes, cauline with basal morphology</v>
          </cell>
        </row>
        <row r="168">
          <cell r="B168">
            <v>3523645</v>
          </cell>
          <cell r="D168" t="str">
            <v>JEPS53814</v>
          </cell>
          <cell r="E168">
            <v>1936</v>
          </cell>
          <cell r="F168" t="str">
            <v>4 bud clusters, 1 little leaf, extra buds</v>
          </cell>
          <cell r="G168" t="str">
            <v>yes, basal</v>
          </cell>
        </row>
        <row r="169">
          <cell r="B169">
            <v>3534929</v>
          </cell>
          <cell r="D169" t="str">
            <v>JEPS53813</v>
          </cell>
          <cell r="E169">
            <v>1936</v>
          </cell>
          <cell r="F169" t="str">
            <v>1 axiallary bud, 1 terminal bud cluster</v>
          </cell>
          <cell r="G169" t="str">
            <v>yes, cauline with basal morphology</v>
          </cell>
        </row>
        <row r="170">
          <cell r="B170">
            <v>3183749</v>
          </cell>
          <cell r="D170" t="str">
            <v>UC1126742</v>
          </cell>
          <cell r="E170">
            <v>1936</v>
          </cell>
          <cell r="F170" t="str">
            <v>1 apical bud cluster, 1 axiallary bud cluster</v>
          </cell>
          <cell r="G170" t="str">
            <v>yes, basal</v>
          </cell>
        </row>
        <row r="171">
          <cell r="B171">
            <v>3489238</v>
          </cell>
          <cell r="D171" t="str">
            <v>UC1126741</v>
          </cell>
          <cell r="E171">
            <v>1936</v>
          </cell>
          <cell r="F171" t="str">
            <v>1 terminal bud cluster, 1 big apical cluster</v>
          </cell>
          <cell r="G171" t="str">
            <v>yes, basal</v>
          </cell>
        </row>
        <row r="172">
          <cell r="B172">
            <v>3293792</v>
          </cell>
          <cell r="D172" t="str">
            <v>UC1126754</v>
          </cell>
          <cell r="E172">
            <v>1936</v>
          </cell>
          <cell r="F172" t="str">
            <v>1 massive bud cluster, little leaf</v>
          </cell>
          <cell r="G172" t="str">
            <v>yes, basal</v>
          </cell>
        </row>
        <row r="173">
          <cell r="B173">
            <v>3440200</v>
          </cell>
          <cell r="D173" t="str">
            <v>UC1126753</v>
          </cell>
          <cell r="E173">
            <v>1936</v>
          </cell>
          <cell r="F173" t="str">
            <v>4 bud clusters</v>
          </cell>
          <cell r="G173" t="str">
            <v>yes, cauline, intermediate morphology</v>
          </cell>
        </row>
        <row r="174">
          <cell r="B174">
            <v>3310288</v>
          </cell>
          <cell r="D174" t="str">
            <v>UC606739</v>
          </cell>
          <cell r="E174">
            <v>1936</v>
          </cell>
          <cell r="F174" t="str">
            <v>2 bud clusters</v>
          </cell>
          <cell r="G174" t="str">
            <v>yes, cauline with basal morphology</v>
          </cell>
        </row>
        <row r="175">
          <cell r="B175">
            <v>3281522</v>
          </cell>
          <cell r="D175" t="str">
            <v>UC1126744</v>
          </cell>
          <cell r="E175">
            <v>1936</v>
          </cell>
          <cell r="F175" t="str">
            <v>4 bud clusters</v>
          </cell>
          <cell r="G175" t="str">
            <v>yes, basal</v>
          </cell>
        </row>
        <row r="176">
          <cell r="B176">
            <v>468980</v>
          </cell>
          <cell r="D176" t="str">
            <v>SD00062677</v>
          </cell>
          <cell r="E176">
            <v>1937</v>
          </cell>
          <cell r="F176" t="str">
            <v>4 axiallary buds</v>
          </cell>
          <cell r="G176" t="str">
            <v>yes, cauline w/ intermediate morphology</v>
          </cell>
        </row>
        <row r="177">
          <cell r="B177">
            <v>468982</v>
          </cell>
          <cell r="D177" t="str">
            <v>SD00062675</v>
          </cell>
          <cell r="E177">
            <v>1937</v>
          </cell>
          <cell r="F177" t="str">
            <v>3 axillary bud, 1 little leaf</v>
          </cell>
          <cell r="G177" t="str">
            <v>yes, cauline with basal morphology</v>
          </cell>
        </row>
        <row r="178">
          <cell r="B178">
            <v>468977</v>
          </cell>
          <cell r="D178" t="str">
            <v>SD00062676</v>
          </cell>
          <cell r="E178">
            <v>1937</v>
          </cell>
          <cell r="F178" t="str">
            <v>6 axillary buds</v>
          </cell>
          <cell r="G178" t="str">
            <v>yes, basal</v>
          </cell>
        </row>
        <row r="179">
          <cell r="B179">
            <v>2405523</v>
          </cell>
          <cell r="D179">
            <v>74175</v>
          </cell>
          <cell r="E179">
            <v>1937</v>
          </cell>
          <cell r="F179" t="str">
            <v>4 axillary buds, little leaf</v>
          </cell>
          <cell r="G179" t="str">
            <v xml:space="preserve">yes, basal morphology </v>
          </cell>
        </row>
        <row r="180">
          <cell r="B180">
            <v>2773470</v>
          </cell>
          <cell r="D180">
            <v>554230</v>
          </cell>
          <cell r="E180">
            <v>1937</v>
          </cell>
          <cell r="F180" t="str">
            <v>2 terminal bud clusters, 1 axillary bud</v>
          </cell>
          <cell r="G180" t="str">
            <v>yes, basal</v>
          </cell>
        </row>
        <row r="181">
          <cell r="B181">
            <v>2771952</v>
          </cell>
          <cell r="D181">
            <v>550561</v>
          </cell>
          <cell r="E181">
            <v>1937</v>
          </cell>
          <cell r="F181" t="str">
            <v>3 terminal  bud clusters</v>
          </cell>
          <cell r="G181" t="str">
            <v>yes, cauline with intermediate morphology</v>
          </cell>
        </row>
        <row r="182">
          <cell r="B182">
            <v>2771954</v>
          </cell>
          <cell r="D182">
            <v>550563</v>
          </cell>
          <cell r="E182">
            <v>1937</v>
          </cell>
          <cell r="F182" t="str">
            <v>4 terminal bud clusters</v>
          </cell>
          <cell r="G182" t="str">
            <v>yes, cauline with basal morphology</v>
          </cell>
        </row>
        <row r="183">
          <cell r="B183">
            <v>2772139</v>
          </cell>
          <cell r="D183">
            <v>550649</v>
          </cell>
          <cell r="E183">
            <v>1937</v>
          </cell>
          <cell r="F183" t="str">
            <v>4 terminal bud clusters, 2 axillary buds</v>
          </cell>
          <cell r="G183" t="str">
            <v>yes, basal</v>
          </cell>
        </row>
        <row r="184">
          <cell r="B184">
            <v>2772132</v>
          </cell>
          <cell r="D184">
            <v>550642</v>
          </cell>
          <cell r="E184">
            <v>1937</v>
          </cell>
          <cell r="F184" t="str">
            <v>1 large terminal bud cluster</v>
          </cell>
          <cell r="G184" t="str">
            <v>yes, basal</v>
          </cell>
        </row>
        <row r="185">
          <cell r="B185">
            <v>468979</v>
          </cell>
          <cell r="D185" t="str">
            <v>SD00061956</v>
          </cell>
          <cell r="E185">
            <v>1937</v>
          </cell>
          <cell r="F185" t="str">
            <v>3-4 axillary buds, 1 terminal bud cluster</v>
          </cell>
          <cell r="G185" t="str">
            <v>yes, basal</v>
          </cell>
        </row>
        <row r="186">
          <cell r="B186">
            <v>3477178</v>
          </cell>
          <cell r="D186" t="str">
            <v>UC1126751</v>
          </cell>
          <cell r="E186">
            <v>1937</v>
          </cell>
          <cell r="F186" t="str">
            <v>3 apical bud clusters</v>
          </cell>
          <cell r="G186" t="str">
            <v>yes, cauline with basal morphology</v>
          </cell>
        </row>
        <row r="187">
          <cell r="B187">
            <v>3232355</v>
          </cell>
          <cell r="D187" t="str">
            <v>UC1084367</v>
          </cell>
          <cell r="E187">
            <v>1937</v>
          </cell>
          <cell r="F187" t="str">
            <v>3 terminal bud clusters</v>
          </cell>
          <cell r="G187" t="str">
            <v>yes, basal</v>
          </cell>
        </row>
        <row r="188">
          <cell r="B188">
            <v>468983</v>
          </cell>
          <cell r="D188" t="str">
            <v>SD00062670</v>
          </cell>
          <cell r="E188">
            <v>1938</v>
          </cell>
          <cell r="F188" t="str">
            <v>4 axiallary buds</v>
          </cell>
          <cell r="G188" t="str">
            <v>yes, basal</v>
          </cell>
        </row>
        <row r="189">
          <cell r="B189">
            <v>2367740</v>
          </cell>
          <cell r="D189">
            <v>74231</v>
          </cell>
          <cell r="E189">
            <v>1938</v>
          </cell>
          <cell r="F189" t="str">
            <v>4 axillary buds</v>
          </cell>
          <cell r="G189" t="str">
            <v>yes, cauline with intermediate morphology</v>
          </cell>
        </row>
        <row r="190">
          <cell r="B190">
            <v>2061578</v>
          </cell>
          <cell r="D190" t="str">
            <v>CHSC000535</v>
          </cell>
          <cell r="E190">
            <v>1938</v>
          </cell>
          <cell r="F190" t="str">
            <v>3 apical buds, 2 little leaves</v>
          </cell>
          <cell r="G190" t="str">
            <v>yes, cauline</v>
          </cell>
        </row>
        <row r="191">
          <cell r="B191">
            <v>108810</v>
          </cell>
          <cell r="D191" t="str">
            <v>SBBG213812</v>
          </cell>
          <cell r="E191">
            <v>1939</v>
          </cell>
          <cell r="F191" t="str">
            <v>4 axiallary buds</v>
          </cell>
          <cell r="G191" t="str">
            <v>yes, basal</v>
          </cell>
        </row>
        <row r="192">
          <cell r="B192">
            <v>468986</v>
          </cell>
          <cell r="D192" t="str">
            <v>SD00062669</v>
          </cell>
          <cell r="E192">
            <v>1940</v>
          </cell>
          <cell r="F192" t="str">
            <v>2 apical bud clusters</v>
          </cell>
          <cell r="G192" t="str">
            <v>yes, cauline with basal morphology</v>
          </cell>
        </row>
        <row r="193">
          <cell r="B193">
            <v>468987</v>
          </cell>
          <cell r="D193" t="str">
            <v>SD00062668</v>
          </cell>
          <cell r="E193">
            <v>1940</v>
          </cell>
          <cell r="F193" t="str">
            <v>4 axiallary buds</v>
          </cell>
          <cell r="G193" t="str">
            <v>yes, cauline</v>
          </cell>
        </row>
        <row r="194">
          <cell r="B194">
            <v>3792179</v>
          </cell>
          <cell r="D194" t="str">
            <v>FSC0010464</v>
          </cell>
          <cell r="E194">
            <v>1940</v>
          </cell>
          <cell r="F194" t="str">
            <v>leaf tissue only available</v>
          </cell>
          <cell r="G194" t="str">
            <v>yes, basal</v>
          </cell>
        </row>
        <row r="195">
          <cell r="B195">
            <v>468985</v>
          </cell>
          <cell r="D195" t="str">
            <v>SD00062743</v>
          </cell>
          <cell r="E195">
            <v>1940</v>
          </cell>
          <cell r="F195" t="str">
            <v>3 axillary bud clusters and a lil leaf</v>
          </cell>
          <cell r="G195" t="str">
            <v>yes, basal</v>
          </cell>
        </row>
        <row r="196">
          <cell r="B196">
            <v>1368036</v>
          </cell>
          <cell r="D196" t="str">
            <v>DAV310432</v>
          </cell>
          <cell r="E196">
            <v>1941</v>
          </cell>
          <cell r="F196" t="str">
            <v>2 axiallary bud, 2 little leaf, 1 bud cluster</v>
          </cell>
          <cell r="G196" t="str">
            <v>yes, cauline w/ intermediate morphology</v>
          </cell>
        </row>
        <row r="197">
          <cell r="B197">
            <v>469010</v>
          </cell>
          <cell r="D197" t="str">
            <v>SD00062563</v>
          </cell>
          <cell r="E197">
            <v>1941</v>
          </cell>
          <cell r="F197" t="str">
            <v>several axiallary buds and small leaves</v>
          </cell>
          <cell r="G197" t="str">
            <v xml:space="preserve">yes, basal morphology </v>
          </cell>
        </row>
        <row r="198">
          <cell r="B198">
            <v>89884</v>
          </cell>
          <cell r="D198" t="str">
            <v>SBBG213826</v>
          </cell>
          <cell r="E198">
            <v>1942</v>
          </cell>
          <cell r="F198" t="str">
            <v>3 huge multibud clusters</v>
          </cell>
          <cell r="G198" t="str">
            <v>yes, cauline with basal morphology</v>
          </cell>
        </row>
        <row r="199">
          <cell r="B199">
            <v>1367984</v>
          </cell>
          <cell r="D199" t="str">
            <v>DAV300681</v>
          </cell>
          <cell r="E199">
            <v>1942</v>
          </cell>
          <cell r="F199" t="str">
            <v>4 axiallary buds, few lil leaves</v>
          </cell>
          <cell r="G199" t="str">
            <v>yes, basal</v>
          </cell>
        </row>
        <row r="200">
          <cell r="B200">
            <v>49117</v>
          </cell>
          <cell r="D200" t="str">
            <v>SBBG213827</v>
          </cell>
          <cell r="E200">
            <v>1943</v>
          </cell>
          <cell r="F200" t="str">
            <v>7 axillary buds</v>
          </cell>
          <cell r="G200" t="str">
            <v xml:space="preserve">yes, cauline with cauline morphology </v>
          </cell>
        </row>
        <row r="201">
          <cell r="B201">
            <v>36646</v>
          </cell>
          <cell r="D201" t="str">
            <v>SBBG213820</v>
          </cell>
          <cell r="E201">
            <v>1943</v>
          </cell>
          <cell r="F201" t="str">
            <v>4 axiallary buds</v>
          </cell>
          <cell r="G201" t="str">
            <v>no</v>
          </cell>
        </row>
        <row r="202">
          <cell r="B202">
            <v>1368038</v>
          </cell>
          <cell r="D202" t="str">
            <v>DAV010561</v>
          </cell>
          <cell r="E202">
            <v>1943</v>
          </cell>
          <cell r="F202" t="str">
            <v>5 axillary buds</v>
          </cell>
          <cell r="G202" t="str">
            <v>yes, cauline w/ intermediate morphology</v>
          </cell>
        </row>
        <row r="203">
          <cell r="B203">
            <v>2423815</v>
          </cell>
          <cell r="D203">
            <v>74252</v>
          </cell>
          <cell r="E203">
            <v>1943</v>
          </cell>
          <cell r="F203" t="str">
            <v>4 axillary buds</v>
          </cell>
          <cell r="G203" t="str">
            <v>yes, cauline with basal morphology</v>
          </cell>
        </row>
        <row r="204">
          <cell r="B204">
            <v>3286045</v>
          </cell>
          <cell r="D204" t="str">
            <v>UC685672</v>
          </cell>
          <cell r="E204">
            <v>1943</v>
          </cell>
          <cell r="F204" t="str">
            <v>giant apical bud</v>
          </cell>
          <cell r="G204" t="str">
            <v>yes, cauline with basal morphology</v>
          </cell>
        </row>
        <row r="205">
          <cell r="B205">
            <v>110889</v>
          </cell>
          <cell r="D205" t="str">
            <v>SBBG213835</v>
          </cell>
          <cell r="E205">
            <v>1944</v>
          </cell>
          <cell r="F205" t="str">
            <v>4 bud clusters</v>
          </cell>
          <cell r="G205" t="str">
            <v>yes, cauline w/ intermediate morphology</v>
          </cell>
        </row>
        <row r="206">
          <cell r="B206">
            <v>87856</v>
          </cell>
          <cell r="D206" t="str">
            <v>SBBG213810</v>
          </cell>
          <cell r="E206">
            <v>1944</v>
          </cell>
          <cell r="F206" t="str">
            <v>4 axiallary buds</v>
          </cell>
          <cell r="G206" t="str">
            <v>yes, cauline with basal morphology</v>
          </cell>
        </row>
        <row r="207">
          <cell r="B207">
            <v>61217</v>
          </cell>
          <cell r="D207" t="str">
            <v>SBBG213824</v>
          </cell>
          <cell r="E207">
            <v>1944</v>
          </cell>
          <cell r="F207" t="str">
            <v>5 axillary buds, little leaves</v>
          </cell>
          <cell r="G207" t="str">
            <v xml:space="preserve">yes, cauline with cauline morphology </v>
          </cell>
        </row>
        <row r="208">
          <cell r="B208">
            <v>130694</v>
          </cell>
          <cell r="D208" t="str">
            <v>SBBG213821</v>
          </cell>
          <cell r="E208">
            <v>1944</v>
          </cell>
          <cell r="F208" t="str">
            <v>5 axillary buds, little lf</v>
          </cell>
          <cell r="G208" t="str">
            <v>yes, basal</v>
          </cell>
        </row>
        <row r="209">
          <cell r="B209">
            <v>1367988</v>
          </cell>
          <cell r="D209" t="str">
            <v>DAV300683</v>
          </cell>
          <cell r="E209">
            <v>1944</v>
          </cell>
          <cell r="F209" t="str">
            <v>5 axillary buds</v>
          </cell>
          <cell r="G209" t="str">
            <v>yes, cauline with basal morphology</v>
          </cell>
        </row>
        <row r="210">
          <cell r="B210">
            <v>2395595</v>
          </cell>
          <cell r="D210">
            <v>74242</v>
          </cell>
          <cell r="E210">
            <v>1944</v>
          </cell>
          <cell r="F210" t="str">
            <v>4 axillary buds, 1 terminal bud cluster</v>
          </cell>
          <cell r="G210" t="str">
            <v>yes, cauline with intermediate morphology</v>
          </cell>
        </row>
        <row r="211">
          <cell r="B211">
            <v>469012</v>
          </cell>
          <cell r="D211" t="str">
            <v>SD00062667</v>
          </cell>
          <cell r="E211">
            <v>1944</v>
          </cell>
          <cell r="F211" t="str">
            <v>3 bud clusters</v>
          </cell>
          <cell r="G211" t="str">
            <v>yes, cauline with basal morphology</v>
          </cell>
        </row>
        <row r="212">
          <cell r="B212">
            <v>98493</v>
          </cell>
          <cell r="D212" t="str">
            <v>SBBG213814</v>
          </cell>
          <cell r="E212">
            <v>1945</v>
          </cell>
          <cell r="F212" t="str">
            <v>4 axiallary buds, 1 lil leaf</v>
          </cell>
          <cell r="G212" t="str">
            <v>yes, cauline with basal morphology</v>
          </cell>
        </row>
        <row r="213">
          <cell r="B213">
            <v>2411397</v>
          </cell>
          <cell r="D213">
            <v>74215</v>
          </cell>
          <cell r="E213">
            <v>1945</v>
          </cell>
          <cell r="F213" t="str">
            <v>1 axillary bud, 2 terminal bud cluster</v>
          </cell>
          <cell r="G213" t="str">
            <v>yes, basal</v>
          </cell>
        </row>
        <row r="214">
          <cell r="B214">
            <v>304536</v>
          </cell>
          <cell r="D214" t="str">
            <v>UCSB031995</v>
          </cell>
          <cell r="E214">
            <v>1945</v>
          </cell>
          <cell r="F214" t="str">
            <v>buds w extra</v>
          </cell>
          <cell r="G214" t="str">
            <v>yes, cauline with basal morphology</v>
          </cell>
        </row>
        <row r="215">
          <cell r="B215">
            <v>304556</v>
          </cell>
          <cell r="D215" t="str">
            <v>UCSB032011</v>
          </cell>
          <cell r="E215">
            <v>1945</v>
          </cell>
          <cell r="F215" t="str">
            <v>buds w extra</v>
          </cell>
          <cell r="G215" t="str">
            <v>yes, basal</v>
          </cell>
        </row>
        <row r="216">
          <cell r="B216">
            <v>2324177</v>
          </cell>
          <cell r="D216">
            <v>74208</v>
          </cell>
          <cell r="E216">
            <v>1946</v>
          </cell>
          <cell r="F216" t="str">
            <v>1 axillary bud cluster, 1 terminal bud cluster</v>
          </cell>
          <cell r="G216" t="str">
            <v>no</v>
          </cell>
        </row>
        <row r="217">
          <cell r="B217">
            <v>47113</v>
          </cell>
          <cell r="D217" t="str">
            <v>SBBG213834</v>
          </cell>
          <cell r="E217">
            <v>1947</v>
          </cell>
          <cell r="F217" t="str">
            <v>3 axiallary buds</v>
          </cell>
          <cell r="G217" t="str">
            <v>no</v>
          </cell>
        </row>
        <row r="218">
          <cell r="B218">
            <v>2288810</v>
          </cell>
          <cell r="D218">
            <v>74216</v>
          </cell>
          <cell r="E218">
            <v>1947</v>
          </cell>
          <cell r="F218" t="str">
            <v>4 axiallary buds, 1 terminal bud cluster</v>
          </cell>
          <cell r="G218" t="str">
            <v>yes, basal</v>
          </cell>
        </row>
        <row r="219">
          <cell r="B219">
            <v>304543</v>
          </cell>
          <cell r="D219" t="str">
            <v>UCSB032009</v>
          </cell>
          <cell r="E219">
            <v>1948</v>
          </cell>
          <cell r="F219" t="str">
            <v>buds w extra</v>
          </cell>
          <cell r="G219" t="str">
            <v>yes, basal</v>
          </cell>
        </row>
        <row r="220">
          <cell r="B220">
            <v>2291878</v>
          </cell>
          <cell r="D220">
            <v>74283</v>
          </cell>
          <cell r="E220">
            <v>1949</v>
          </cell>
          <cell r="F220" t="str">
            <v>3 axillary buds</v>
          </cell>
          <cell r="G220" t="str">
            <v>yes, basal</v>
          </cell>
        </row>
        <row r="221">
          <cell r="B221">
            <v>2390070</v>
          </cell>
          <cell r="D221">
            <v>74348</v>
          </cell>
          <cell r="E221">
            <v>1949</v>
          </cell>
          <cell r="F221" t="str">
            <v>3 large axillary bud cluster</v>
          </cell>
          <cell r="G221" t="str">
            <v>yes, basal</v>
          </cell>
        </row>
        <row r="222">
          <cell r="B222">
            <v>2450089</v>
          </cell>
          <cell r="D222">
            <v>74197</v>
          </cell>
          <cell r="E222">
            <v>1950</v>
          </cell>
          <cell r="F222" t="str">
            <v>2 axillary buds, 2 bud clusters</v>
          </cell>
          <cell r="G222" t="str">
            <v xml:space="preserve">yes, cauline, with cauline morphology </v>
          </cell>
        </row>
        <row r="223">
          <cell r="B223">
            <v>2292239</v>
          </cell>
          <cell r="D223">
            <v>74194</v>
          </cell>
          <cell r="E223">
            <v>1950</v>
          </cell>
          <cell r="F223" t="str">
            <v>2 axillary buds, 1 terminal bud cluster</v>
          </cell>
          <cell r="G223" t="str">
            <v>yes, basal</v>
          </cell>
        </row>
        <row r="224">
          <cell r="B224">
            <v>2334980</v>
          </cell>
          <cell r="D224">
            <v>74356</v>
          </cell>
          <cell r="E224">
            <v>1950</v>
          </cell>
          <cell r="F224" t="str">
            <v>4 axillary buds, 4 terminal bud clusters</v>
          </cell>
          <cell r="G224" t="str">
            <v xml:space="preserve">yes, cauline with cauline morphology </v>
          </cell>
        </row>
        <row r="225">
          <cell r="B225">
            <v>2270810</v>
          </cell>
          <cell r="D225">
            <v>74353</v>
          </cell>
          <cell r="E225">
            <v>1950</v>
          </cell>
          <cell r="F225" t="str">
            <v>1 large axillary bud, 1 terminal bud cluster</v>
          </cell>
          <cell r="G225" t="str">
            <v>yes, cauline with basal morphology</v>
          </cell>
        </row>
        <row r="226">
          <cell r="B226">
            <v>1367980</v>
          </cell>
          <cell r="D226" t="str">
            <v>DAV310436</v>
          </cell>
          <cell r="E226">
            <v>1951</v>
          </cell>
          <cell r="F226" t="str">
            <v>1 terminal  multi-bud cluster, 1 axilary, one terminal bud cluster</v>
          </cell>
          <cell r="G226" t="str">
            <v>yes, cauline with basal morphology</v>
          </cell>
        </row>
        <row r="227">
          <cell r="B227">
            <v>2358602</v>
          </cell>
          <cell r="D227">
            <v>74223</v>
          </cell>
          <cell r="E227">
            <v>1951</v>
          </cell>
          <cell r="F227" t="str">
            <v>2 axillary bud, 1 terminal bud cluster</v>
          </cell>
          <cell r="G227" t="str">
            <v xml:space="preserve">yes, cauline, with cauline morphology </v>
          </cell>
        </row>
        <row r="228">
          <cell r="B228">
            <v>375714</v>
          </cell>
          <cell r="D228" t="str">
            <v>SDSU01237</v>
          </cell>
          <cell r="E228">
            <v>1951</v>
          </cell>
          <cell r="F228" t="str">
            <v>axillary buds and pedicels</v>
          </cell>
          <cell r="G228" t="str">
            <v>yes, basal</v>
          </cell>
        </row>
        <row r="229">
          <cell r="B229">
            <v>375726</v>
          </cell>
          <cell r="D229" t="str">
            <v>SDSU01249</v>
          </cell>
          <cell r="E229">
            <v>1951</v>
          </cell>
          <cell r="F229" t="str">
            <v>axillary bud clusters and young leaf</v>
          </cell>
          <cell r="G229" t="str">
            <v>yes, basal</v>
          </cell>
        </row>
        <row r="230">
          <cell r="B230">
            <v>3498289</v>
          </cell>
          <cell r="D230" t="str">
            <v>JEPS8424</v>
          </cell>
          <cell r="E230">
            <v>1951</v>
          </cell>
          <cell r="F230" t="str">
            <v>2 axiallary buds, 2 apical bud clusters</v>
          </cell>
          <cell r="G230" t="str">
            <v>yes, cauline with basal morphology</v>
          </cell>
        </row>
        <row r="231">
          <cell r="B231">
            <v>3476616</v>
          </cell>
          <cell r="D231" t="str">
            <v>UC1046483</v>
          </cell>
          <cell r="E231">
            <v>1951</v>
          </cell>
          <cell r="F231" t="str">
            <v>3 terminal  bud clusters</v>
          </cell>
          <cell r="G231" t="str">
            <v>no</v>
          </cell>
        </row>
        <row r="232">
          <cell r="B232">
            <v>5504845</v>
          </cell>
          <cell r="D232">
            <v>684482</v>
          </cell>
          <cell r="E232">
            <v>1952</v>
          </cell>
          <cell r="F232" t="str">
            <v>2 terminal bud clusters, 1 axillary bud</v>
          </cell>
          <cell r="G232" t="str">
            <v xml:space="preserve">yes, cauline, with cauline morphology </v>
          </cell>
        </row>
        <row r="233">
          <cell r="B233">
            <v>2311342</v>
          </cell>
          <cell r="D233">
            <v>74195</v>
          </cell>
          <cell r="E233">
            <v>1952</v>
          </cell>
          <cell r="F233" t="str">
            <v>4 axillary bud clusters</v>
          </cell>
          <cell r="G233" t="str">
            <v>yes, basal</v>
          </cell>
        </row>
        <row r="234">
          <cell r="B234">
            <v>2414651</v>
          </cell>
          <cell r="D234">
            <v>74335</v>
          </cell>
          <cell r="E234">
            <v>1952</v>
          </cell>
          <cell r="F234" t="str">
            <v>1 axillary bud</v>
          </cell>
          <cell r="G234" t="str">
            <v xml:space="preserve">yes, cauline with cauline morphology </v>
          </cell>
        </row>
        <row r="235">
          <cell r="B235">
            <v>2411987</v>
          </cell>
          <cell r="D235">
            <v>74331</v>
          </cell>
          <cell r="E235">
            <v>1952</v>
          </cell>
          <cell r="F235" t="str">
            <v>1 terminal bud cluster</v>
          </cell>
          <cell r="G235" t="str">
            <v>no</v>
          </cell>
        </row>
        <row r="236">
          <cell r="B236">
            <v>469021</v>
          </cell>
          <cell r="D236" t="str">
            <v>SD00061955</v>
          </cell>
          <cell r="E236">
            <v>1952</v>
          </cell>
          <cell r="F236" t="str">
            <v>1 axiallary bud; 2 flower bud clusters</v>
          </cell>
          <cell r="G236" t="str">
            <v>yes, basal</v>
          </cell>
        </row>
        <row r="237">
          <cell r="B237">
            <v>375708</v>
          </cell>
          <cell r="D237" t="str">
            <v>SDSU01231</v>
          </cell>
          <cell r="E237">
            <v>1952</v>
          </cell>
          <cell r="F237" t="str">
            <v>3 axillary bud clusters</v>
          </cell>
          <cell r="G237" t="str">
            <v>yes, cauline, not basal morphology</v>
          </cell>
        </row>
        <row r="238">
          <cell r="B238">
            <v>2423571</v>
          </cell>
          <cell r="D238">
            <v>74358</v>
          </cell>
          <cell r="E238">
            <v>1953</v>
          </cell>
          <cell r="F238" t="str">
            <v>2 terminal bud cluster</v>
          </cell>
          <cell r="G238" t="str">
            <v xml:space="preserve">yes, cauline with cauline morphology </v>
          </cell>
        </row>
        <row r="239">
          <cell r="B239">
            <v>2360184</v>
          </cell>
          <cell r="D239">
            <v>74357</v>
          </cell>
          <cell r="E239">
            <v>1953</v>
          </cell>
          <cell r="F239" t="str">
            <v>2 terminal bud cluster</v>
          </cell>
          <cell r="G239" t="str">
            <v>yes, cauline w/ intermediate morphology</v>
          </cell>
        </row>
        <row r="240">
          <cell r="B240">
            <v>2275918</v>
          </cell>
          <cell r="D240">
            <v>74350</v>
          </cell>
          <cell r="E240">
            <v>1953</v>
          </cell>
          <cell r="F240" t="str">
            <v>4 axiallary buds</v>
          </cell>
          <cell r="G240" t="str">
            <v>yes, cauline w/ intermediate morphology</v>
          </cell>
        </row>
        <row r="241">
          <cell r="B241">
            <v>2061660</v>
          </cell>
          <cell r="D241" t="str">
            <v>CHSC000536</v>
          </cell>
          <cell r="E241">
            <v>1953</v>
          </cell>
          <cell r="F241" t="str">
            <v>4 axiallary buds, 1 terminal bud cluster, 1 leaf</v>
          </cell>
          <cell r="G241" t="str">
            <v>yes, basal</v>
          </cell>
        </row>
        <row r="242">
          <cell r="B242">
            <v>3792159</v>
          </cell>
          <cell r="D242" t="str">
            <v>FSC0010444</v>
          </cell>
          <cell r="E242">
            <v>1953</v>
          </cell>
          <cell r="F242" t="str">
            <v>4 bud clusters</v>
          </cell>
          <cell r="G242" t="str">
            <v>yes, basal</v>
          </cell>
        </row>
        <row r="243">
          <cell r="B243">
            <v>3792160</v>
          </cell>
          <cell r="D243" t="str">
            <v>FSC0010445</v>
          </cell>
          <cell r="E243">
            <v>1953</v>
          </cell>
          <cell r="F243" t="str">
            <v>3 buds and stem bit</v>
          </cell>
          <cell r="G243" t="str">
            <v>yes, basal</v>
          </cell>
        </row>
        <row r="244">
          <cell r="B244">
            <v>3514143</v>
          </cell>
          <cell r="D244" t="str">
            <v>UC1252110</v>
          </cell>
          <cell r="E244">
            <v>1953</v>
          </cell>
          <cell r="F244" t="str">
            <v>3 bud clusters</v>
          </cell>
          <cell r="G244" t="str">
            <v>yes, cauline with intermediate morphology</v>
          </cell>
        </row>
        <row r="245">
          <cell r="B245">
            <v>304537</v>
          </cell>
          <cell r="D245" t="str">
            <v>UCSB031994</v>
          </cell>
          <cell r="E245">
            <v>1953</v>
          </cell>
          <cell r="F245" t="str">
            <v>buds w extra</v>
          </cell>
          <cell r="G245" t="str">
            <v>yes, cauline with basal morphology</v>
          </cell>
        </row>
        <row r="246">
          <cell r="B246">
            <v>304554</v>
          </cell>
          <cell r="D246" t="str">
            <v>UCSB031998</v>
          </cell>
          <cell r="E246">
            <v>1953</v>
          </cell>
          <cell r="F246" t="str">
            <v>buds w extra</v>
          </cell>
          <cell r="G246" t="str">
            <v>yes, basal</v>
          </cell>
        </row>
        <row r="247">
          <cell r="B247">
            <v>304571</v>
          </cell>
          <cell r="D247" t="str">
            <v>UCSB032026</v>
          </cell>
          <cell r="E247">
            <v>1953</v>
          </cell>
          <cell r="F247" t="str">
            <v>buds w extra</v>
          </cell>
          <cell r="G247" t="str">
            <v>yes, basal</v>
          </cell>
        </row>
        <row r="248">
          <cell r="B248">
            <v>2324050</v>
          </cell>
          <cell r="D248">
            <v>74181</v>
          </cell>
          <cell r="E248">
            <v>1954</v>
          </cell>
          <cell r="F248" t="str">
            <v>1 terminal bud cluster</v>
          </cell>
          <cell r="G248" t="str">
            <v>yes, basal</v>
          </cell>
        </row>
        <row r="249">
          <cell r="B249">
            <v>2370292</v>
          </cell>
          <cell r="D249">
            <v>74202</v>
          </cell>
          <cell r="E249">
            <v>1954</v>
          </cell>
          <cell r="F249" t="str">
            <v>2 axillary buds, 1 little leaf</v>
          </cell>
          <cell r="G249" t="str">
            <v xml:space="preserve">yes, basal morphology </v>
          </cell>
        </row>
        <row r="250">
          <cell r="B250">
            <v>2413016</v>
          </cell>
          <cell r="D250">
            <v>74336</v>
          </cell>
          <cell r="E250">
            <v>1954</v>
          </cell>
          <cell r="F250" t="str">
            <v>2 axiallary bud, 1 little leaf</v>
          </cell>
          <cell r="G250" t="str">
            <v xml:space="preserve">yes, cauline with cauline morphology </v>
          </cell>
        </row>
        <row r="251">
          <cell r="B251">
            <v>2380407</v>
          </cell>
          <cell r="D251">
            <v>74360</v>
          </cell>
          <cell r="E251">
            <v>1954</v>
          </cell>
          <cell r="F251" t="str">
            <v>3 axiallary buds</v>
          </cell>
          <cell r="G251" t="str">
            <v>yes, cauline w/ intermediate morphology</v>
          </cell>
        </row>
        <row r="252">
          <cell r="B252">
            <v>2282381</v>
          </cell>
          <cell r="D252">
            <v>74359</v>
          </cell>
          <cell r="E252">
            <v>1954</v>
          </cell>
          <cell r="F252" t="str">
            <v>1 large bud cluster</v>
          </cell>
          <cell r="G252" t="str">
            <v>no</v>
          </cell>
        </row>
        <row r="253">
          <cell r="B253">
            <v>3792168</v>
          </cell>
          <cell r="D253" t="str">
            <v>FSC0010453</v>
          </cell>
          <cell r="E253">
            <v>1954</v>
          </cell>
          <cell r="F253" t="str">
            <v>2 floral buds</v>
          </cell>
          <cell r="G253" t="str">
            <v>yes, basal</v>
          </cell>
        </row>
        <row r="254">
          <cell r="B254">
            <v>3792176</v>
          </cell>
          <cell r="D254" t="str">
            <v>FSC0010461</v>
          </cell>
          <cell r="E254">
            <v>1954</v>
          </cell>
          <cell r="F254" t="str">
            <v>several bud clusters</v>
          </cell>
          <cell r="G254" t="str">
            <v>yes, basal</v>
          </cell>
        </row>
        <row r="255">
          <cell r="B255">
            <v>3792180</v>
          </cell>
          <cell r="D255" t="str">
            <v>FSC0010465</v>
          </cell>
          <cell r="E255">
            <v>1954</v>
          </cell>
          <cell r="F255" t="str">
            <v>few bud clusters</v>
          </cell>
          <cell r="G255" t="str">
            <v>yes, basal</v>
          </cell>
        </row>
        <row r="256">
          <cell r="B256">
            <v>304597</v>
          </cell>
          <cell r="D256" t="str">
            <v>UCSB032064</v>
          </cell>
          <cell r="E256">
            <v>1954</v>
          </cell>
          <cell r="F256" t="str">
            <v>buds w extra</v>
          </cell>
          <cell r="G256" t="str">
            <v>yes, cauline with basal morphology</v>
          </cell>
        </row>
        <row r="257">
          <cell r="B257">
            <v>2283407</v>
          </cell>
          <cell r="D257">
            <v>74225</v>
          </cell>
          <cell r="E257">
            <v>1955</v>
          </cell>
          <cell r="F257" t="str">
            <v>3 axillary buds, 2 terminal bud cluster</v>
          </cell>
          <cell r="G257" t="str">
            <v>yes, basal</v>
          </cell>
        </row>
        <row r="258">
          <cell r="B258">
            <v>2321963</v>
          </cell>
          <cell r="D258">
            <v>74308</v>
          </cell>
          <cell r="E258">
            <v>1955</v>
          </cell>
          <cell r="F258" t="str">
            <v>3 axillary buds</v>
          </cell>
          <cell r="G258" t="str">
            <v>yes, cauline with intermediate morphology</v>
          </cell>
        </row>
        <row r="259">
          <cell r="B259">
            <v>2285742</v>
          </cell>
          <cell r="D259">
            <v>74327</v>
          </cell>
          <cell r="E259">
            <v>1955</v>
          </cell>
          <cell r="F259" t="str">
            <v>several young leaves</v>
          </cell>
          <cell r="G259" t="str">
            <v>yes, cauline with intermediate morphology</v>
          </cell>
        </row>
        <row r="260">
          <cell r="B260">
            <v>202470</v>
          </cell>
          <cell r="D260" t="str">
            <v>OBI101765</v>
          </cell>
          <cell r="E260">
            <v>1955</v>
          </cell>
          <cell r="F260" t="str">
            <v>buds w extra</v>
          </cell>
          <cell r="G260" t="str">
            <v>yes, cauline, not basal morphology</v>
          </cell>
        </row>
        <row r="261">
          <cell r="B261">
            <v>304567</v>
          </cell>
          <cell r="D261" t="str">
            <v>UCSB032031</v>
          </cell>
          <cell r="E261">
            <v>1955</v>
          </cell>
          <cell r="F261" t="str">
            <v>buds w extra</v>
          </cell>
          <cell r="G261" t="str">
            <v>yes, basal</v>
          </cell>
        </row>
        <row r="262">
          <cell r="B262">
            <v>2437632</v>
          </cell>
          <cell r="D262">
            <v>74321</v>
          </cell>
          <cell r="E262">
            <v>1956</v>
          </cell>
          <cell r="F262" t="str">
            <v xml:space="preserve">1 large axillary bud, 1 little leaf </v>
          </cell>
          <cell r="G262" t="str">
            <v>yes, basal</v>
          </cell>
        </row>
        <row r="263">
          <cell r="B263">
            <v>2287008</v>
          </cell>
          <cell r="D263">
            <v>74320</v>
          </cell>
          <cell r="E263">
            <v>1956</v>
          </cell>
          <cell r="F263" t="str">
            <v>4 axiallary buds</v>
          </cell>
          <cell r="G263" t="str">
            <v>yes, cauline w/ intermediate morphology</v>
          </cell>
        </row>
        <row r="264">
          <cell r="B264">
            <v>2391489</v>
          </cell>
          <cell r="D264">
            <v>74332</v>
          </cell>
          <cell r="E264">
            <v>1956</v>
          </cell>
          <cell r="F264" t="str">
            <v>1 axillary bud</v>
          </cell>
          <cell r="G264" t="str">
            <v>yes, cauline w/ intermediate morphology</v>
          </cell>
        </row>
        <row r="265">
          <cell r="B265">
            <v>2399359</v>
          </cell>
          <cell r="D265">
            <v>74349</v>
          </cell>
          <cell r="E265">
            <v>1956</v>
          </cell>
          <cell r="F265" t="str">
            <v>3 axillary buds, 1 terminal bud cluster</v>
          </cell>
          <cell r="G265" t="str">
            <v>yes, basal</v>
          </cell>
        </row>
        <row r="266">
          <cell r="B266">
            <v>304575</v>
          </cell>
          <cell r="D266" t="str">
            <v>UCSB032024</v>
          </cell>
          <cell r="E266">
            <v>1956</v>
          </cell>
          <cell r="F266" t="str">
            <v>buds w extra</v>
          </cell>
          <cell r="G266" t="str">
            <v>yes, basal (and small piece cauline, ragged margin)</v>
          </cell>
        </row>
        <row r="267">
          <cell r="B267">
            <v>304573</v>
          </cell>
          <cell r="D267" t="str">
            <v>UCSB032028</v>
          </cell>
          <cell r="E267">
            <v>1956</v>
          </cell>
          <cell r="F267" t="str">
            <v>buds w extra</v>
          </cell>
          <cell r="G267" t="str">
            <v>yes, cauline with basal morphology</v>
          </cell>
        </row>
        <row r="268">
          <cell r="B268">
            <v>304604</v>
          </cell>
          <cell r="D268" t="str">
            <v>UCSB032057</v>
          </cell>
          <cell r="E268">
            <v>1956</v>
          </cell>
          <cell r="F268" t="str">
            <v>buds w extra</v>
          </cell>
          <cell r="G268" t="str">
            <v>yes, cauline with basal morphology</v>
          </cell>
        </row>
        <row r="269">
          <cell r="B269">
            <v>304602</v>
          </cell>
          <cell r="D269" t="str">
            <v>UCSB032059</v>
          </cell>
          <cell r="E269">
            <v>1956</v>
          </cell>
          <cell r="F269" t="str">
            <v>buds &amp; tiny lf</v>
          </cell>
          <cell r="G269" t="str">
            <v>yes, basal</v>
          </cell>
        </row>
        <row r="270">
          <cell r="B270">
            <v>2332340</v>
          </cell>
          <cell r="D270">
            <v>74271</v>
          </cell>
          <cell r="E270">
            <v>1957</v>
          </cell>
          <cell r="F270" t="str">
            <v>4 axillary buds</v>
          </cell>
          <cell r="G270" t="str">
            <v>yes, basal</v>
          </cell>
        </row>
        <row r="271">
          <cell r="B271">
            <v>2412262</v>
          </cell>
          <cell r="D271">
            <v>74328</v>
          </cell>
          <cell r="E271">
            <v>1957</v>
          </cell>
          <cell r="F271" t="str">
            <v>4 axiallary buds</v>
          </cell>
          <cell r="G271" t="str">
            <v>yes, basal</v>
          </cell>
        </row>
        <row r="272">
          <cell r="B272">
            <v>2300993</v>
          </cell>
          <cell r="D272">
            <v>74325</v>
          </cell>
          <cell r="E272">
            <v>1957</v>
          </cell>
          <cell r="F272" t="str">
            <v>2 axiallary bud, 1 terminal bud</v>
          </cell>
          <cell r="G272" t="str">
            <v>yes, cauline w/ intermediate morphology</v>
          </cell>
        </row>
        <row r="273">
          <cell r="B273">
            <v>2316628</v>
          </cell>
          <cell r="D273">
            <v>74323</v>
          </cell>
          <cell r="E273">
            <v>1957</v>
          </cell>
          <cell r="F273" t="str">
            <v>3 terminal  bud clusters</v>
          </cell>
          <cell r="G273" t="str">
            <v>yes, basal</v>
          </cell>
        </row>
        <row r="274">
          <cell r="B274">
            <v>2420423</v>
          </cell>
          <cell r="D274">
            <v>74322</v>
          </cell>
          <cell r="E274">
            <v>1957</v>
          </cell>
          <cell r="F274" t="str">
            <v>2 axillary buds, 2 little leaves</v>
          </cell>
          <cell r="G274" t="str">
            <v>yes, cauline w/ intermediate morphology</v>
          </cell>
        </row>
        <row r="275">
          <cell r="B275">
            <v>3792181</v>
          </cell>
          <cell r="D275" t="str">
            <v>FSC0010466</v>
          </cell>
          <cell r="E275">
            <v>1957</v>
          </cell>
          <cell r="F275" t="str">
            <v>few bud clusters</v>
          </cell>
          <cell r="G275" t="str">
            <v>yes, basal</v>
          </cell>
        </row>
        <row r="276">
          <cell r="B276">
            <v>202455</v>
          </cell>
          <cell r="D276" t="str">
            <v>OBI101767</v>
          </cell>
          <cell r="E276">
            <v>1957</v>
          </cell>
          <cell r="F276" t="str">
            <v>buds w extra</v>
          </cell>
          <cell r="G276" t="str">
            <v>yes, cauline with basal morphology</v>
          </cell>
        </row>
        <row r="277">
          <cell r="B277">
            <v>304594</v>
          </cell>
          <cell r="D277" t="str">
            <v>UCSB032036</v>
          </cell>
          <cell r="E277">
            <v>1957</v>
          </cell>
          <cell r="F277" t="str">
            <v>buds w extra</v>
          </cell>
          <cell r="G277" t="str">
            <v>yes, basal</v>
          </cell>
        </row>
        <row r="278">
          <cell r="B278">
            <v>2298844</v>
          </cell>
          <cell r="D278">
            <v>74186</v>
          </cell>
          <cell r="E278">
            <v>1958</v>
          </cell>
          <cell r="F278" t="str">
            <v>4 axillary buds</v>
          </cell>
          <cell r="G278" t="str">
            <v>yes, basal</v>
          </cell>
        </row>
        <row r="279">
          <cell r="B279">
            <v>2358623</v>
          </cell>
          <cell r="D279">
            <v>74178</v>
          </cell>
          <cell r="E279">
            <v>1958</v>
          </cell>
          <cell r="F279" t="str">
            <v>2 axiallary bud, 1 terminal bud</v>
          </cell>
          <cell r="G279" t="str">
            <v>yes, basal</v>
          </cell>
        </row>
        <row r="280">
          <cell r="B280">
            <v>2393459</v>
          </cell>
          <cell r="D280">
            <v>74206</v>
          </cell>
          <cell r="E280">
            <v>1958</v>
          </cell>
          <cell r="F280" t="str">
            <v>2 terminal bud cluster, 2 axillary bud</v>
          </cell>
          <cell r="G280" t="str">
            <v>yes, cauline with basal morphology</v>
          </cell>
        </row>
        <row r="281">
          <cell r="B281">
            <v>2369931</v>
          </cell>
          <cell r="D281">
            <v>74273</v>
          </cell>
          <cell r="E281">
            <v>1958</v>
          </cell>
          <cell r="F281" t="str">
            <v>2 terminal bud cluster</v>
          </cell>
          <cell r="G281" t="str">
            <v xml:space="preserve">yes, cauline </v>
          </cell>
        </row>
        <row r="282">
          <cell r="B282">
            <v>2422780</v>
          </cell>
          <cell r="D282">
            <v>74272</v>
          </cell>
          <cell r="E282">
            <v>1958</v>
          </cell>
          <cell r="F282" t="str">
            <v>2 axillary buds</v>
          </cell>
          <cell r="G282" t="str">
            <v>yes, cauline with intermediate morphology</v>
          </cell>
        </row>
        <row r="283">
          <cell r="B283">
            <v>2369059</v>
          </cell>
          <cell r="D283">
            <v>74298</v>
          </cell>
          <cell r="E283">
            <v>1958</v>
          </cell>
          <cell r="F283" t="str">
            <v>2 axillary buds, 1 terminal bud cluster</v>
          </cell>
          <cell r="G283" t="str">
            <v xml:space="preserve">yes, cauline with cauline morphology </v>
          </cell>
        </row>
        <row r="284">
          <cell r="B284">
            <v>2377415</v>
          </cell>
          <cell r="D284">
            <v>74330</v>
          </cell>
          <cell r="E284">
            <v>1958</v>
          </cell>
          <cell r="F284" t="str">
            <v>3 terminal  bud clusters</v>
          </cell>
          <cell r="G284" t="str">
            <v>yes, cauline with intermediate morphology</v>
          </cell>
        </row>
        <row r="285">
          <cell r="B285">
            <v>3386031</v>
          </cell>
          <cell r="D285" t="str">
            <v>UC2049883</v>
          </cell>
          <cell r="E285">
            <v>1958</v>
          </cell>
          <cell r="F285" t="str">
            <v>3 apical bud clusters</v>
          </cell>
          <cell r="G285" t="str">
            <v>yes, basal</v>
          </cell>
        </row>
        <row r="286">
          <cell r="B286">
            <v>304552</v>
          </cell>
          <cell r="D286" t="str">
            <v>UCSB032000</v>
          </cell>
          <cell r="E286">
            <v>1958</v>
          </cell>
          <cell r="F286" t="str">
            <v>buds w extra</v>
          </cell>
          <cell r="G286" t="str">
            <v>yes, cauline with basal morphology</v>
          </cell>
        </row>
        <row r="287">
          <cell r="B287">
            <v>304570</v>
          </cell>
          <cell r="D287" t="str">
            <v>UCSB032025</v>
          </cell>
          <cell r="E287">
            <v>1958</v>
          </cell>
          <cell r="F287" t="str">
            <v>buds w extra</v>
          </cell>
          <cell r="G287" t="str">
            <v>yes, basal</v>
          </cell>
        </row>
        <row r="288">
          <cell r="B288">
            <v>304572</v>
          </cell>
          <cell r="D288" t="str">
            <v>UCSB032027</v>
          </cell>
          <cell r="E288">
            <v>1958</v>
          </cell>
          <cell r="F288" t="str">
            <v>buds w extra</v>
          </cell>
          <cell r="G288" t="str">
            <v>yes, cauline with basal morphology</v>
          </cell>
        </row>
        <row r="289">
          <cell r="B289">
            <v>304569</v>
          </cell>
          <cell r="D289" t="str">
            <v>UCSB032029</v>
          </cell>
          <cell r="E289">
            <v>1958</v>
          </cell>
          <cell r="F289" t="str">
            <v>buds w extra</v>
          </cell>
          <cell r="G289" t="str">
            <v>no</v>
          </cell>
        </row>
        <row r="290">
          <cell r="B290">
            <v>304578</v>
          </cell>
          <cell r="D290" t="str">
            <v>UCSB032033</v>
          </cell>
          <cell r="E290">
            <v>1958</v>
          </cell>
          <cell r="F290" t="str">
            <v>buds w extra</v>
          </cell>
          <cell r="G290" t="str">
            <v>yes, basal</v>
          </cell>
        </row>
        <row r="291">
          <cell r="B291">
            <v>116271</v>
          </cell>
          <cell r="D291" t="str">
            <v>SBBG213825</v>
          </cell>
          <cell r="E291">
            <v>1959</v>
          </cell>
          <cell r="F291" t="str">
            <v>7 axillary buds</v>
          </cell>
          <cell r="G291" t="str">
            <v>no</v>
          </cell>
        </row>
        <row r="292">
          <cell r="B292">
            <v>4745859</v>
          </cell>
          <cell r="D292">
            <v>77913</v>
          </cell>
          <cell r="E292">
            <v>1959</v>
          </cell>
          <cell r="F292" t="str">
            <v>3 axillary bud, 1 large bud</v>
          </cell>
          <cell r="G292" t="str">
            <v>yes, basal</v>
          </cell>
        </row>
        <row r="293">
          <cell r="B293">
            <v>2465925</v>
          </cell>
          <cell r="D293">
            <v>74185</v>
          </cell>
          <cell r="E293">
            <v>1959</v>
          </cell>
          <cell r="F293" t="str">
            <v>1 axillary bud, one terminal bud cluster</v>
          </cell>
          <cell r="G293" t="str">
            <v>yes, basal</v>
          </cell>
        </row>
        <row r="294">
          <cell r="B294">
            <v>2456431</v>
          </cell>
          <cell r="D294">
            <v>74282</v>
          </cell>
          <cell r="E294">
            <v>1959</v>
          </cell>
          <cell r="F294" t="str">
            <v>3 axillary buds</v>
          </cell>
          <cell r="G294" t="str">
            <v>yes, cauline with basal morphology</v>
          </cell>
        </row>
        <row r="295">
          <cell r="B295">
            <v>3792167</v>
          </cell>
          <cell r="D295" t="str">
            <v>FSC0010452</v>
          </cell>
          <cell r="E295">
            <v>1959</v>
          </cell>
          <cell r="F295" t="str">
            <v>several bud clusters</v>
          </cell>
          <cell r="G295" t="str">
            <v>yes, basal</v>
          </cell>
        </row>
        <row r="296">
          <cell r="B296">
            <v>202486</v>
          </cell>
          <cell r="D296" t="str">
            <v>OBI101768</v>
          </cell>
          <cell r="E296">
            <v>1959</v>
          </cell>
          <cell r="F296" t="str">
            <v>buds w extra</v>
          </cell>
          <cell r="G296" t="str">
            <v>yes, basal</v>
          </cell>
        </row>
        <row r="297">
          <cell r="B297">
            <v>304551</v>
          </cell>
          <cell r="D297" t="str">
            <v>UCSB032001</v>
          </cell>
          <cell r="E297">
            <v>1959</v>
          </cell>
          <cell r="F297" t="str">
            <v>buds w extra</v>
          </cell>
          <cell r="G297" t="str">
            <v>yes, basal</v>
          </cell>
        </row>
        <row r="298">
          <cell r="B298">
            <v>304574</v>
          </cell>
          <cell r="D298" t="str">
            <v>UCSB032023</v>
          </cell>
          <cell r="E298">
            <v>1959</v>
          </cell>
          <cell r="F298" t="str">
            <v>buds w extra</v>
          </cell>
          <cell r="G298" t="str">
            <v>yes, basal</v>
          </cell>
        </row>
        <row r="299">
          <cell r="B299">
            <v>304605</v>
          </cell>
          <cell r="D299" t="str">
            <v>UCSB032056</v>
          </cell>
          <cell r="E299">
            <v>1959</v>
          </cell>
          <cell r="F299" t="str">
            <v>buds w extra</v>
          </cell>
          <cell r="G299" t="str">
            <v>yes, basal</v>
          </cell>
        </row>
        <row r="300">
          <cell r="B300">
            <v>4745869</v>
          </cell>
          <cell r="D300">
            <v>77919</v>
          </cell>
          <cell r="E300">
            <v>1960</v>
          </cell>
          <cell r="F300" t="str">
            <v>2 terminal bud cluster</v>
          </cell>
          <cell r="G300" t="str">
            <v>yes, basal</v>
          </cell>
        </row>
        <row r="301">
          <cell r="B301">
            <v>2406304</v>
          </cell>
          <cell r="D301">
            <v>74326</v>
          </cell>
          <cell r="E301">
            <v>1960</v>
          </cell>
          <cell r="F301" t="str">
            <v>3 axiallary buds</v>
          </cell>
          <cell r="G301" t="str">
            <v>yes, cauline w/ intermediate morphology</v>
          </cell>
        </row>
        <row r="302">
          <cell r="B302">
            <v>3792178</v>
          </cell>
          <cell r="D302" t="str">
            <v>FSC0010463</v>
          </cell>
          <cell r="E302">
            <v>1960</v>
          </cell>
          <cell r="F302" t="str">
            <v>3 bud clusters</v>
          </cell>
          <cell r="G302" t="str">
            <v>yes, basal</v>
          </cell>
        </row>
        <row r="303">
          <cell r="B303">
            <v>3792191</v>
          </cell>
          <cell r="D303" t="str">
            <v>FSC0010476</v>
          </cell>
          <cell r="E303">
            <v>1960</v>
          </cell>
          <cell r="F303" t="str">
            <v>3 bud clusters and lil leaf</v>
          </cell>
          <cell r="G303" t="str">
            <v>yes, basal</v>
          </cell>
        </row>
        <row r="304">
          <cell r="B304">
            <v>304582</v>
          </cell>
          <cell r="D304" t="str">
            <v>UCSB032049</v>
          </cell>
          <cell r="E304">
            <v>1960</v>
          </cell>
          <cell r="F304" t="str">
            <v>buds w extra</v>
          </cell>
          <cell r="G304" t="str">
            <v>yes, cauline with basal morphology</v>
          </cell>
        </row>
        <row r="305">
          <cell r="B305">
            <v>304584</v>
          </cell>
          <cell r="D305" t="str">
            <v>UCSB032047</v>
          </cell>
          <cell r="E305">
            <v>1960</v>
          </cell>
          <cell r="F305" t="str">
            <v>buds w extra</v>
          </cell>
          <cell r="G305" t="str">
            <v>yes, basal</v>
          </cell>
        </row>
        <row r="306">
          <cell r="B306">
            <v>2298121</v>
          </cell>
          <cell r="D306">
            <v>74191</v>
          </cell>
          <cell r="E306">
            <v>1961</v>
          </cell>
          <cell r="F306" t="str">
            <v>2 terminal bud cluster, 2 axillary bud, 1 little leaf</v>
          </cell>
          <cell r="G306" t="str">
            <v>yes, cauline w/ intermediate morphology</v>
          </cell>
        </row>
        <row r="307">
          <cell r="B307">
            <v>2442814</v>
          </cell>
          <cell r="D307">
            <v>74240</v>
          </cell>
          <cell r="E307">
            <v>1961</v>
          </cell>
          <cell r="F307" t="str">
            <v xml:space="preserve">4 axillary buds, some small buds </v>
          </cell>
          <cell r="G307" t="str">
            <v xml:space="preserve">yes, cauline with basal morphology </v>
          </cell>
        </row>
        <row r="308">
          <cell r="B308">
            <v>2290828</v>
          </cell>
          <cell r="D308">
            <v>74234</v>
          </cell>
          <cell r="E308">
            <v>1961</v>
          </cell>
          <cell r="F308" t="str">
            <v>2 terminal bud clusters</v>
          </cell>
          <cell r="G308" t="str">
            <v>yes, basal</v>
          </cell>
        </row>
        <row r="309">
          <cell r="B309">
            <v>2378585</v>
          </cell>
          <cell r="D309">
            <v>74277</v>
          </cell>
          <cell r="E309">
            <v>1961</v>
          </cell>
          <cell r="F309" t="str">
            <v xml:space="preserve"> 2 axillary buds, 1 terminal bud</v>
          </cell>
          <cell r="G309" t="str">
            <v>yes, basal</v>
          </cell>
        </row>
        <row r="310">
          <cell r="B310">
            <v>2333212</v>
          </cell>
          <cell r="D310">
            <v>74290</v>
          </cell>
          <cell r="E310">
            <v>1961</v>
          </cell>
          <cell r="F310" t="str">
            <v>3 axillary bud clusters</v>
          </cell>
          <cell r="G310" t="str">
            <v xml:space="preserve">yes, cauline with basal morphology </v>
          </cell>
        </row>
        <row r="311">
          <cell r="B311">
            <v>2409497</v>
          </cell>
          <cell r="D311">
            <v>74291</v>
          </cell>
          <cell r="E311">
            <v>1961</v>
          </cell>
          <cell r="F311" t="str">
            <v>1 axillary bud, 1 terminal bud cluster</v>
          </cell>
          <cell r="G311" t="str">
            <v>yes, basal</v>
          </cell>
        </row>
        <row r="312">
          <cell r="B312">
            <v>2289763</v>
          </cell>
          <cell r="D312">
            <v>74313</v>
          </cell>
          <cell r="E312">
            <v>1961</v>
          </cell>
          <cell r="F312" t="str">
            <v>3 terminal  bud clusters</v>
          </cell>
          <cell r="G312" t="str">
            <v xml:space="preserve">yes, cauline with cauline morphology </v>
          </cell>
        </row>
        <row r="313">
          <cell r="B313">
            <v>3792165</v>
          </cell>
          <cell r="D313" t="str">
            <v>FSC0010450</v>
          </cell>
          <cell r="E313">
            <v>1961</v>
          </cell>
          <cell r="F313" t="str">
            <v>2 bud clusters</v>
          </cell>
          <cell r="G313" t="str">
            <v>yes, basal</v>
          </cell>
        </row>
        <row r="314">
          <cell r="B314">
            <v>3292668</v>
          </cell>
          <cell r="D314" t="str">
            <v>JEPS45440</v>
          </cell>
          <cell r="E314">
            <v>1961</v>
          </cell>
          <cell r="F314" t="str">
            <v>3 bud clusters</v>
          </cell>
          <cell r="G314" t="str">
            <v>yes, basal</v>
          </cell>
        </row>
        <row r="315">
          <cell r="B315">
            <v>3414522</v>
          </cell>
          <cell r="D315" t="str">
            <v>JEPS45441</v>
          </cell>
          <cell r="E315">
            <v>1961</v>
          </cell>
          <cell r="F315" t="str">
            <v>3 axiallary buds, little leaf</v>
          </cell>
          <cell r="G315" t="str">
            <v>yes, basal</v>
          </cell>
        </row>
        <row r="316">
          <cell r="B316">
            <v>304601</v>
          </cell>
          <cell r="D316" t="str">
            <v>UCSB032060</v>
          </cell>
          <cell r="E316">
            <v>1961</v>
          </cell>
          <cell r="F316" t="str">
            <v>buds w extra</v>
          </cell>
          <cell r="G316" t="str">
            <v>yes, basal</v>
          </cell>
        </row>
        <row r="317">
          <cell r="B317">
            <v>469002</v>
          </cell>
          <cell r="D317" t="str">
            <v>SD00062666</v>
          </cell>
          <cell r="E317">
            <v>1962</v>
          </cell>
          <cell r="F317" t="str">
            <v>3 axiallary buds</v>
          </cell>
          <cell r="G317" t="str">
            <v>yes, cauline with basal morphology</v>
          </cell>
        </row>
        <row r="318">
          <cell r="B318">
            <v>2345323</v>
          </cell>
          <cell r="D318">
            <v>74239</v>
          </cell>
          <cell r="E318">
            <v>1962</v>
          </cell>
          <cell r="F318" t="str">
            <v>3 axillary buds</v>
          </cell>
          <cell r="G318" t="str">
            <v>yes, basal</v>
          </cell>
        </row>
        <row r="319">
          <cell r="B319">
            <v>2373106</v>
          </cell>
          <cell r="D319">
            <v>74226</v>
          </cell>
          <cell r="E319">
            <v>1962</v>
          </cell>
          <cell r="F319" t="str">
            <v>1 axillary bud, 1 terminal bud cluster</v>
          </cell>
          <cell r="G319" t="str">
            <v>yes, basal</v>
          </cell>
        </row>
        <row r="320">
          <cell r="B320">
            <v>5504855</v>
          </cell>
          <cell r="D320">
            <v>684492</v>
          </cell>
          <cell r="E320">
            <v>1962</v>
          </cell>
          <cell r="F320" t="str">
            <v>3 axillary buds</v>
          </cell>
          <cell r="G320" t="str">
            <v xml:space="preserve">yes, cauline with basal morphology </v>
          </cell>
        </row>
        <row r="321">
          <cell r="B321">
            <v>5504856</v>
          </cell>
          <cell r="D321">
            <v>684493</v>
          </cell>
          <cell r="E321">
            <v>1962</v>
          </cell>
          <cell r="F321" t="str">
            <v>5 axillary buds</v>
          </cell>
          <cell r="G321" t="str">
            <v>yes, cauline with basal morphology</v>
          </cell>
        </row>
        <row r="322">
          <cell r="B322">
            <v>5504857</v>
          </cell>
          <cell r="D322">
            <v>684494</v>
          </cell>
          <cell r="E322">
            <v>1962</v>
          </cell>
          <cell r="F322" t="str">
            <v>3 axillary buds</v>
          </cell>
          <cell r="G322" t="str">
            <v>yes, cauline with intermediate morphology</v>
          </cell>
        </row>
        <row r="323">
          <cell r="B323">
            <v>5569675</v>
          </cell>
          <cell r="D323">
            <v>684518</v>
          </cell>
          <cell r="E323">
            <v>1962</v>
          </cell>
          <cell r="F323" t="str">
            <v>4 axillary buds</v>
          </cell>
          <cell r="G323" t="str">
            <v xml:space="preserve">yes, cauline with basal morphology </v>
          </cell>
        </row>
        <row r="324">
          <cell r="B324">
            <v>5504863</v>
          </cell>
          <cell r="D324">
            <v>684502</v>
          </cell>
          <cell r="E324">
            <v>1962</v>
          </cell>
          <cell r="F324" t="str">
            <v>3 axillary buds</v>
          </cell>
          <cell r="G324" t="str">
            <v xml:space="preserve">yes, basal </v>
          </cell>
        </row>
        <row r="325">
          <cell r="B325">
            <v>5569850</v>
          </cell>
          <cell r="D325">
            <v>685177</v>
          </cell>
          <cell r="E325">
            <v>1962</v>
          </cell>
          <cell r="F325" t="str">
            <v>2 terminal bud clusters</v>
          </cell>
          <cell r="G325" t="str">
            <v xml:space="preserve">yes, cauline with basal morphology </v>
          </cell>
        </row>
        <row r="326">
          <cell r="B326">
            <v>5504851</v>
          </cell>
          <cell r="D326">
            <v>684488</v>
          </cell>
          <cell r="E326">
            <v>1962</v>
          </cell>
          <cell r="F326" t="str">
            <v>3 axillary buds</v>
          </cell>
          <cell r="G326" t="str">
            <v>yes, basal</v>
          </cell>
        </row>
        <row r="327">
          <cell r="B327">
            <v>376201</v>
          </cell>
          <cell r="D327" t="str">
            <v>SDSU01729</v>
          </cell>
          <cell r="E327">
            <v>1962</v>
          </cell>
          <cell r="F327" t="str">
            <v>young fruits, 2 smll crap buds</v>
          </cell>
          <cell r="G327" t="str">
            <v>no</v>
          </cell>
        </row>
        <row r="328">
          <cell r="B328">
            <v>375699</v>
          </cell>
          <cell r="D328" t="str">
            <v>SDSU01222</v>
          </cell>
          <cell r="E328">
            <v>1962</v>
          </cell>
          <cell r="F328" t="str">
            <v>multiple axillary bud clusters</v>
          </cell>
          <cell r="G328" t="str">
            <v>yes, cauline with basal morphology</v>
          </cell>
        </row>
        <row r="329">
          <cell r="B329">
            <v>375700</v>
          </cell>
          <cell r="D329" t="str">
            <v>SDSU01223</v>
          </cell>
          <cell r="E329">
            <v>1962</v>
          </cell>
          <cell r="F329" t="str">
            <v>multiple axillary bud clusters</v>
          </cell>
          <cell r="G329" t="str">
            <v>yes, cauline with basal morphology</v>
          </cell>
        </row>
        <row r="330">
          <cell r="B330">
            <v>375702</v>
          </cell>
          <cell r="D330" t="str">
            <v>SDSU01225</v>
          </cell>
          <cell r="E330">
            <v>1962</v>
          </cell>
          <cell r="F330" t="str">
            <v>axillary buds and pedicels</v>
          </cell>
          <cell r="G330" t="str">
            <v>yes, cauline with basal morphology</v>
          </cell>
        </row>
        <row r="331">
          <cell r="B331">
            <v>304535</v>
          </cell>
          <cell r="D331" t="str">
            <v>UCSB031996</v>
          </cell>
          <cell r="E331">
            <v>1962</v>
          </cell>
          <cell r="F331" t="str">
            <v>buds w extra</v>
          </cell>
          <cell r="G331" t="str">
            <v>yes, cauline with basal morphology</v>
          </cell>
        </row>
        <row r="332">
          <cell r="B332">
            <v>1367986</v>
          </cell>
          <cell r="D332" t="str">
            <v>DAV300675</v>
          </cell>
          <cell r="E332">
            <v>1963</v>
          </cell>
          <cell r="F332" t="str">
            <v>5 bud clusters</v>
          </cell>
          <cell r="G332" t="str">
            <v>yes, cauline w/ intermediate morphology</v>
          </cell>
        </row>
        <row r="333">
          <cell r="B333">
            <v>5504847</v>
          </cell>
          <cell r="D333">
            <v>684484</v>
          </cell>
          <cell r="E333">
            <v>1963</v>
          </cell>
          <cell r="F333" t="str">
            <v>1 axillary bud, 1 terminal bud cluster</v>
          </cell>
          <cell r="G333" t="str">
            <v>yes, cauline with intermediate morphology, glue on half leaf tissue</v>
          </cell>
        </row>
        <row r="334">
          <cell r="B334">
            <v>5569673</v>
          </cell>
          <cell r="D334">
            <v>684516</v>
          </cell>
          <cell r="E334">
            <v>1963</v>
          </cell>
          <cell r="F334" t="str">
            <v>3 axillary buds</v>
          </cell>
          <cell r="G334" t="str">
            <v>yes, basal</v>
          </cell>
        </row>
        <row r="335">
          <cell r="B335">
            <v>5569676</v>
          </cell>
          <cell r="D335">
            <v>684519</v>
          </cell>
          <cell r="E335">
            <v>1963</v>
          </cell>
          <cell r="F335" t="str">
            <v>4 axillary buds</v>
          </cell>
          <cell r="G335" t="str">
            <v xml:space="preserve">yes, cauline with basal morphology </v>
          </cell>
        </row>
        <row r="336">
          <cell r="B336">
            <v>5504861</v>
          </cell>
          <cell r="D336">
            <v>684499</v>
          </cell>
          <cell r="E336">
            <v>1963</v>
          </cell>
          <cell r="F336" t="str">
            <v>2 apical bud clusters</v>
          </cell>
          <cell r="G336" t="str">
            <v>yes, cauline with intermediate morphology</v>
          </cell>
        </row>
        <row r="337">
          <cell r="B337">
            <v>2388759</v>
          </cell>
          <cell r="D337">
            <v>74306</v>
          </cell>
          <cell r="E337">
            <v>1963</v>
          </cell>
          <cell r="F337" t="str">
            <v>2 axillary buds, 2 little leaves</v>
          </cell>
          <cell r="G337" t="str">
            <v>yes, cauline with basal morphology</v>
          </cell>
        </row>
        <row r="338">
          <cell r="B338">
            <v>2447532</v>
          </cell>
          <cell r="D338">
            <v>74341</v>
          </cell>
          <cell r="E338">
            <v>1963</v>
          </cell>
          <cell r="F338" t="str">
            <v>3 axiallary buds</v>
          </cell>
          <cell r="G338" t="str">
            <v>yes, basal</v>
          </cell>
        </row>
        <row r="339">
          <cell r="B339">
            <v>2371446</v>
          </cell>
          <cell r="D339">
            <v>74337</v>
          </cell>
          <cell r="E339">
            <v>1963</v>
          </cell>
          <cell r="F339" t="str">
            <v>1 axillary bud, 3 terminal bud clusters</v>
          </cell>
          <cell r="G339" t="str">
            <v xml:space="preserve">yes, cauline with cauline morphology </v>
          </cell>
        </row>
        <row r="340">
          <cell r="B340">
            <v>375692</v>
          </cell>
          <cell r="D340" t="str">
            <v>SDSU01215</v>
          </cell>
          <cell r="E340">
            <v>1963</v>
          </cell>
          <cell r="F340" t="str">
            <v>3 tiny axillary buds</v>
          </cell>
          <cell r="G340" t="str">
            <v>yes, cauline, not basal morphology</v>
          </cell>
        </row>
        <row r="341">
          <cell r="B341">
            <v>304598</v>
          </cell>
          <cell r="D341" t="str">
            <v>UCSB032063</v>
          </cell>
          <cell r="E341">
            <v>1963</v>
          </cell>
          <cell r="F341" t="str">
            <v>buds w extra</v>
          </cell>
          <cell r="G341" t="str">
            <v>yes, cauline with basal morphology</v>
          </cell>
        </row>
        <row r="342">
          <cell r="B342">
            <v>57675</v>
          </cell>
          <cell r="D342" t="str">
            <v>SBBG213833</v>
          </cell>
          <cell r="E342">
            <v>1964</v>
          </cell>
          <cell r="F342" t="str">
            <v>4 bud clusters</v>
          </cell>
          <cell r="G342" t="str">
            <v>yes, cauline w/ intermediate morphology</v>
          </cell>
        </row>
        <row r="343">
          <cell r="B343">
            <v>2424544</v>
          </cell>
          <cell r="D343">
            <v>74190</v>
          </cell>
          <cell r="E343">
            <v>1964</v>
          </cell>
          <cell r="F343" t="str">
            <v>1 axillary bud, 2 terminal bud cluster</v>
          </cell>
          <cell r="G343" t="str">
            <v>yes, cauline with intermediate morphology</v>
          </cell>
        </row>
        <row r="344">
          <cell r="B344">
            <v>2318143</v>
          </cell>
          <cell r="D344">
            <v>74176</v>
          </cell>
          <cell r="E344">
            <v>1964</v>
          </cell>
          <cell r="F344" t="str">
            <v>1 axiallary bud, 2 little leaves</v>
          </cell>
          <cell r="G344" t="str">
            <v>yes, basal</v>
          </cell>
        </row>
        <row r="345">
          <cell r="B345">
            <v>2318143</v>
          </cell>
          <cell r="D345">
            <v>74176</v>
          </cell>
          <cell r="E345">
            <v>1964</v>
          </cell>
          <cell r="F345" t="str">
            <v>3 terminal  bud clusters</v>
          </cell>
          <cell r="G345" t="str">
            <v>no</v>
          </cell>
        </row>
        <row r="346">
          <cell r="B346">
            <v>2462190</v>
          </cell>
          <cell r="D346">
            <v>74213</v>
          </cell>
          <cell r="E346">
            <v>1964</v>
          </cell>
          <cell r="F346" t="str">
            <v>2 axillary bud, 1 terminal bud</v>
          </cell>
          <cell r="G346" t="str">
            <v xml:space="preserve">yes, cauline, with cauline morphology </v>
          </cell>
        </row>
        <row r="347">
          <cell r="B347">
            <v>2391912</v>
          </cell>
          <cell r="D347">
            <v>74211</v>
          </cell>
          <cell r="E347">
            <v>1964</v>
          </cell>
          <cell r="F347" t="str">
            <v>2 axillary buds, 2 terminal buds</v>
          </cell>
          <cell r="G347" t="str">
            <v>yes, cauline</v>
          </cell>
        </row>
        <row r="348">
          <cell r="B348">
            <v>5504875</v>
          </cell>
          <cell r="D348">
            <v>684514</v>
          </cell>
          <cell r="E348">
            <v>1964</v>
          </cell>
          <cell r="F348" t="str">
            <v>4 axillary buds</v>
          </cell>
          <cell r="G348" t="str">
            <v>yes, cauline with basal morphology</v>
          </cell>
        </row>
        <row r="349">
          <cell r="B349">
            <v>5569677</v>
          </cell>
          <cell r="D349">
            <v>684520</v>
          </cell>
          <cell r="E349">
            <v>1964</v>
          </cell>
          <cell r="F349" t="str">
            <v xml:space="preserve">2 big bud clusters </v>
          </cell>
          <cell r="G349" t="str">
            <v>yes, basal</v>
          </cell>
        </row>
        <row r="350">
          <cell r="B350">
            <v>5504867</v>
          </cell>
          <cell r="D350">
            <v>684506</v>
          </cell>
          <cell r="E350">
            <v>1964</v>
          </cell>
          <cell r="F350" t="str">
            <v>1 terminal bud cluster</v>
          </cell>
          <cell r="G350" t="str">
            <v>yes, cauline with intermediate morphology</v>
          </cell>
        </row>
        <row r="351">
          <cell r="B351">
            <v>5569682</v>
          </cell>
          <cell r="D351">
            <v>684525</v>
          </cell>
          <cell r="E351">
            <v>1964</v>
          </cell>
          <cell r="F351" t="str">
            <v>2 large axillary buds</v>
          </cell>
          <cell r="G351" t="str">
            <v>yes, basal</v>
          </cell>
        </row>
        <row r="352">
          <cell r="B352">
            <v>2390281</v>
          </cell>
          <cell r="D352">
            <v>74318</v>
          </cell>
          <cell r="E352">
            <v>1964</v>
          </cell>
          <cell r="F352" t="str">
            <v>3 axillary buds</v>
          </cell>
          <cell r="G352" t="str">
            <v>yes, cauline w/ intermediate morphology</v>
          </cell>
        </row>
        <row r="353">
          <cell r="B353">
            <v>2464854</v>
          </cell>
          <cell r="D353">
            <v>74334</v>
          </cell>
          <cell r="E353">
            <v>1964</v>
          </cell>
          <cell r="F353" t="str">
            <v>2 axillary bud, 1 terminal bud, some loose buds</v>
          </cell>
          <cell r="G353" t="str">
            <v>no</v>
          </cell>
        </row>
        <row r="354">
          <cell r="B354">
            <v>3792161</v>
          </cell>
          <cell r="D354" t="str">
            <v>FSC0010446</v>
          </cell>
          <cell r="E354">
            <v>1964</v>
          </cell>
          <cell r="F354" t="str">
            <v>2 big bud clusters</v>
          </cell>
          <cell r="G354" t="str">
            <v>yes, cauline, intermediate morphology</v>
          </cell>
        </row>
        <row r="355">
          <cell r="B355">
            <v>3792169</v>
          </cell>
          <cell r="D355" t="str">
            <v>FSC0010454</v>
          </cell>
          <cell r="E355">
            <v>1964</v>
          </cell>
          <cell r="F355" t="str">
            <v>several bud clusters</v>
          </cell>
          <cell r="G355" t="str">
            <v>yes, cauline, intermediate morphology</v>
          </cell>
        </row>
        <row r="356">
          <cell r="B356">
            <v>3792174</v>
          </cell>
          <cell r="D356" t="str">
            <v>FSC0010459</v>
          </cell>
          <cell r="E356">
            <v>1964</v>
          </cell>
          <cell r="F356" t="str">
            <v>several bud clusters</v>
          </cell>
          <cell r="G356" t="str">
            <v>yes, cauline, intermediate morphology</v>
          </cell>
        </row>
        <row r="357">
          <cell r="B357">
            <v>202487</v>
          </cell>
          <cell r="D357" t="str">
            <v>OBI101753</v>
          </cell>
          <cell r="E357">
            <v>1964</v>
          </cell>
          <cell r="F357" t="str">
            <v>buds w extra</v>
          </cell>
          <cell r="G357" t="str">
            <v>yes, basal</v>
          </cell>
        </row>
        <row r="358">
          <cell r="B358">
            <v>375693</v>
          </cell>
          <cell r="D358" t="str">
            <v>SDSU01216</v>
          </cell>
          <cell r="E358">
            <v>1964</v>
          </cell>
          <cell r="F358" t="str">
            <v>one apical bud cluster</v>
          </cell>
          <cell r="G358" t="str">
            <v>no</v>
          </cell>
        </row>
        <row r="359">
          <cell r="B359">
            <v>1443133</v>
          </cell>
          <cell r="D359" t="str">
            <v>UCR0083345</v>
          </cell>
          <cell r="E359">
            <v>1965</v>
          </cell>
          <cell r="F359" t="str">
            <v>4 axiallary buds</v>
          </cell>
          <cell r="G359" t="str">
            <v xml:space="preserve">yes, basal </v>
          </cell>
        </row>
        <row r="360">
          <cell r="B360">
            <v>2415893</v>
          </cell>
          <cell r="D360">
            <v>74269</v>
          </cell>
          <cell r="E360">
            <v>1965</v>
          </cell>
          <cell r="F360" t="str">
            <v>2 large axillary buds</v>
          </cell>
          <cell r="G360" t="str">
            <v>yes, cauline with intermediate morphology</v>
          </cell>
        </row>
        <row r="361">
          <cell r="B361">
            <v>5504854</v>
          </cell>
          <cell r="D361">
            <v>684491</v>
          </cell>
          <cell r="E361">
            <v>1965</v>
          </cell>
          <cell r="F361" t="str">
            <v>2 terminal bud cluster</v>
          </cell>
          <cell r="G361" t="str">
            <v>yes, basal</v>
          </cell>
        </row>
        <row r="362">
          <cell r="B362">
            <v>2061760</v>
          </cell>
          <cell r="D362" t="str">
            <v>CHSC000537</v>
          </cell>
          <cell r="E362">
            <v>1965</v>
          </cell>
          <cell r="F362" t="str">
            <v>3 axiallary buds</v>
          </cell>
          <cell r="G362" t="str">
            <v>yes, cauline with basal morphology</v>
          </cell>
        </row>
        <row r="363">
          <cell r="B363">
            <v>2061832</v>
          </cell>
          <cell r="D363" t="str">
            <v>CHSC000538</v>
          </cell>
          <cell r="E363">
            <v>1965</v>
          </cell>
          <cell r="F363" t="str">
            <v>3 axillary bud, 1 terminal bud cluster, 1 little leaf</v>
          </cell>
        </row>
        <row r="364">
          <cell r="B364">
            <v>3792166</v>
          </cell>
          <cell r="D364" t="str">
            <v>FSC0010451</v>
          </cell>
          <cell r="E364">
            <v>1965</v>
          </cell>
          <cell r="F364" t="str">
            <v>several bud clusters</v>
          </cell>
          <cell r="G364" t="str">
            <v>yes, basal</v>
          </cell>
        </row>
        <row r="365">
          <cell r="B365">
            <v>3792173</v>
          </cell>
          <cell r="D365" t="str">
            <v>FSC0010458</v>
          </cell>
          <cell r="E365">
            <v>1965</v>
          </cell>
          <cell r="F365" t="str">
            <v>2 bud clusters</v>
          </cell>
          <cell r="G365" t="str">
            <v>yes, basal</v>
          </cell>
        </row>
        <row r="366">
          <cell r="B366">
            <v>3792175</v>
          </cell>
          <cell r="D366" t="str">
            <v>FSC0010460</v>
          </cell>
          <cell r="E366">
            <v>1965</v>
          </cell>
          <cell r="F366" t="str">
            <v>several bud clusters</v>
          </cell>
          <cell r="G366" t="str">
            <v>yes, cauline, intermediate morphology</v>
          </cell>
        </row>
        <row r="367">
          <cell r="B367">
            <v>375694</v>
          </cell>
          <cell r="D367" t="str">
            <v>SDSU01217</v>
          </cell>
          <cell r="E367">
            <v>1965</v>
          </cell>
          <cell r="F367" t="str">
            <v>3 tiny axillary buds</v>
          </cell>
          <cell r="G367" t="str">
            <v>yes, basal</v>
          </cell>
        </row>
        <row r="368">
          <cell r="B368">
            <v>5504849</v>
          </cell>
          <cell r="D368">
            <v>684486</v>
          </cell>
          <cell r="E368">
            <v>1966</v>
          </cell>
          <cell r="F368" t="str">
            <v>2 terminal bud cluster</v>
          </cell>
          <cell r="G368" t="str">
            <v>no</v>
          </cell>
        </row>
        <row r="369">
          <cell r="B369">
            <v>2359565</v>
          </cell>
          <cell r="D369">
            <v>74193</v>
          </cell>
          <cell r="E369">
            <v>1966</v>
          </cell>
          <cell r="F369" t="str">
            <v>2 terminal bud cluster, 2 axillary bud</v>
          </cell>
          <cell r="G369" t="str">
            <v>yes, cauline with basal morphology</v>
          </cell>
        </row>
        <row r="370">
          <cell r="B370">
            <v>2422811</v>
          </cell>
          <cell r="D370">
            <v>74227</v>
          </cell>
          <cell r="E370">
            <v>1966</v>
          </cell>
          <cell r="F370" t="str">
            <v xml:space="preserve">3 axillary buds </v>
          </cell>
          <cell r="G370" t="str">
            <v>yes, basal</v>
          </cell>
        </row>
        <row r="371">
          <cell r="B371">
            <v>5504871</v>
          </cell>
          <cell r="D371">
            <v>684510</v>
          </cell>
          <cell r="E371">
            <v>1966</v>
          </cell>
          <cell r="F371" t="str">
            <v>4 axillary buds</v>
          </cell>
          <cell r="G371" t="str">
            <v>yes, cauline with basal morphology</v>
          </cell>
        </row>
        <row r="372">
          <cell r="B372">
            <v>5504872</v>
          </cell>
          <cell r="D372">
            <v>684511</v>
          </cell>
          <cell r="E372">
            <v>1966</v>
          </cell>
          <cell r="F372" t="str">
            <v>4 axillary buds</v>
          </cell>
          <cell r="G372" t="str">
            <v>yes, basal</v>
          </cell>
        </row>
        <row r="373">
          <cell r="B373">
            <v>5504874</v>
          </cell>
          <cell r="D373">
            <v>684513</v>
          </cell>
          <cell r="E373">
            <v>1966</v>
          </cell>
          <cell r="F373" t="str">
            <v>3 terminal  bud clusters</v>
          </cell>
          <cell r="G373" t="str">
            <v xml:space="preserve">yes, cauline with cauline morphology </v>
          </cell>
        </row>
        <row r="374">
          <cell r="B374">
            <v>5569672</v>
          </cell>
          <cell r="D374">
            <v>684515</v>
          </cell>
          <cell r="E374">
            <v>1966</v>
          </cell>
          <cell r="F374" t="str">
            <v>4 axillary buds</v>
          </cell>
          <cell r="G374" t="str">
            <v>yes, basal</v>
          </cell>
        </row>
        <row r="375">
          <cell r="B375">
            <v>5569678</v>
          </cell>
          <cell r="D375">
            <v>684521</v>
          </cell>
          <cell r="E375">
            <v>1966</v>
          </cell>
          <cell r="F375" t="str">
            <v xml:space="preserve">3 bud clusters, a few loose buds </v>
          </cell>
          <cell r="G375" t="str">
            <v>yes, basal</v>
          </cell>
        </row>
        <row r="376">
          <cell r="B376">
            <v>5569679</v>
          </cell>
          <cell r="D376">
            <v>684522</v>
          </cell>
          <cell r="E376">
            <v>1966</v>
          </cell>
          <cell r="F376" t="str">
            <v>3 bud clusters</v>
          </cell>
          <cell r="G376" t="str">
            <v xml:space="preserve">yes, basal </v>
          </cell>
        </row>
        <row r="377">
          <cell r="B377">
            <v>5504864</v>
          </cell>
          <cell r="D377">
            <v>684503</v>
          </cell>
          <cell r="E377">
            <v>1966</v>
          </cell>
          <cell r="F377" t="str">
            <v>3 axillary buds</v>
          </cell>
          <cell r="G377" t="str">
            <v xml:space="preserve">yes, basal </v>
          </cell>
        </row>
        <row r="378">
          <cell r="B378">
            <v>5569849</v>
          </cell>
          <cell r="D378">
            <v>685176</v>
          </cell>
          <cell r="E378">
            <v>1966</v>
          </cell>
          <cell r="F378" t="str">
            <v>2 terminal bud clusters</v>
          </cell>
          <cell r="G378" t="str">
            <v>yes, cauline with intermediate morphology</v>
          </cell>
        </row>
        <row r="379">
          <cell r="B379">
            <v>2425563</v>
          </cell>
          <cell r="D379">
            <v>74285</v>
          </cell>
          <cell r="E379">
            <v>1966</v>
          </cell>
          <cell r="F379" t="str">
            <v>4 axillary buds</v>
          </cell>
          <cell r="G379" t="str">
            <v xml:space="preserve">yes, cauline with cauline morphology </v>
          </cell>
        </row>
        <row r="380">
          <cell r="B380">
            <v>5569855</v>
          </cell>
          <cell r="D380">
            <v>685183</v>
          </cell>
          <cell r="E380">
            <v>1966</v>
          </cell>
          <cell r="F380" t="str">
            <v>4 axiallary buds</v>
          </cell>
          <cell r="G380" t="str">
            <v>yes, cauline w/ intermediate morphology</v>
          </cell>
        </row>
        <row r="381">
          <cell r="B381">
            <v>2030475</v>
          </cell>
          <cell r="D381" t="str">
            <v>UC10775</v>
          </cell>
          <cell r="E381">
            <v>1966</v>
          </cell>
          <cell r="F381" t="str">
            <v>2 axiallary bud</v>
          </cell>
          <cell r="G381" t="str">
            <v>yes, basal</v>
          </cell>
        </row>
        <row r="382">
          <cell r="B382">
            <v>3792163</v>
          </cell>
          <cell r="D382" t="str">
            <v>FSC0010448</v>
          </cell>
          <cell r="E382">
            <v>1966</v>
          </cell>
          <cell r="F382" t="str">
            <v>2 bud clusters</v>
          </cell>
          <cell r="G382" t="str">
            <v>yes, cauline with basal morphology</v>
          </cell>
        </row>
        <row r="383">
          <cell r="B383">
            <v>202453</v>
          </cell>
          <cell r="D383" t="str">
            <v>OBI101750</v>
          </cell>
          <cell r="E383">
            <v>1966</v>
          </cell>
          <cell r="F383" t="str">
            <v>buds w extra</v>
          </cell>
          <cell r="G383" t="str">
            <v>yes, cauline with basal morphology</v>
          </cell>
        </row>
        <row r="384">
          <cell r="B384">
            <v>375695</v>
          </cell>
          <cell r="D384" t="str">
            <v>SDSU01218</v>
          </cell>
          <cell r="E384">
            <v>1966</v>
          </cell>
          <cell r="F384" t="str">
            <v>2 crappy bud clusters - most buds fallen off, 1 lil leaf</v>
          </cell>
          <cell r="G384" t="str">
            <v>yes, cauline, intermediate morphology</v>
          </cell>
        </row>
        <row r="385">
          <cell r="B385">
            <v>375696</v>
          </cell>
          <cell r="D385" t="str">
            <v>SDSU01219</v>
          </cell>
          <cell r="E385">
            <v>1966</v>
          </cell>
          <cell r="F385" t="str">
            <v>multiple good axillary bud clusters</v>
          </cell>
          <cell r="G385" t="str">
            <v>yes, cauline with basal morphology</v>
          </cell>
        </row>
        <row r="386">
          <cell r="B386">
            <v>3428915</v>
          </cell>
          <cell r="D386" t="str">
            <v>UC1327247</v>
          </cell>
          <cell r="E386">
            <v>1966</v>
          </cell>
          <cell r="F386" t="str">
            <v>2 bud clusters</v>
          </cell>
          <cell r="G386" t="str">
            <v>yes, cauline with basal morphology</v>
          </cell>
        </row>
        <row r="387">
          <cell r="B387">
            <v>2866761</v>
          </cell>
          <cell r="D387" t="str">
            <v>US 2525641</v>
          </cell>
          <cell r="E387">
            <v>1966</v>
          </cell>
        </row>
        <row r="388">
          <cell r="B388">
            <v>148536</v>
          </cell>
          <cell r="D388" t="str">
            <v>SBBG213813</v>
          </cell>
          <cell r="E388">
            <v>1967</v>
          </cell>
          <cell r="F388" t="str">
            <v>3 terminal  bud clusters</v>
          </cell>
          <cell r="G388" t="str">
            <v>yes, cauline</v>
          </cell>
        </row>
        <row r="389">
          <cell r="B389">
            <v>92289</v>
          </cell>
          <cell r="D389" t="str">
            <v>SBBG213815</v>
          </cell>
          <cell r="E389">
            <v>1967</v>
          </cell>
          <cell r="F389" t="str">
            <v>6 terminal bud clusters</v>
          </cell>
          <cell r="G389" t="str">
            <v>yes, cauline w/ intermediate morphology</v>
          </cell>
        </row>
        <row r="390">
          <cell r="B390">
            <v>55059</v>
          </cell>
          <cell r="D390" t="str">
            <v>SBBG213842</v>
          </cell>
          <cell r="E390">
            <v>1967</v>
          </cell>
          <cell r="F390" t="str">
            <v>5 axillary buds</v>
          </cell>
          <cell r="G390" t="str">
            <v>yes, cauline w/ intermediate morphology</v>
          </cell>
        </row>
        <row r="391">
          <cell r="B391">
            <v>92110</v>
          </cell>
          <cell r="D391" t="str">
            <v>SBBG213841</v>
          </cell>
          <cell r="E391">
            <v>1967</v>
          </cell>
          <cell r="F391" t="str">
            <v>7 axillary buds</v>
          </cell>
          <cell r="G391" t="str">
            <v>yes, basal</v>
          </cell>
        </row>
        <row r="392">
          <cell r="B392">
            <v>128858</v>
          </cell>
          <cell r="D392" t="str">
            <v>SBBG213829</v>
          </cell>
          <cell r="E392">
            <v>1967</v>
          </cell>
          <cell r="F392" t="str">
            <v>5 axillary buds</v>
          </cell>
          <cell r="G392" t="str">
            <v xml:space="preserve">yes, cauline with cauline morphology </v>
          </cell>
        </row>
        <row r="393">
          <cell r="B393">
            <v>106233</v>
          </cell>
          <cell r="D393" t="str">
            <v>SBBG213830</v>
          </cell>
          <cell r="E393">
            <v>1967</v>
          </cell>
          <cell r="F393" t="str">
            <v>4 axiallary buds</v>
          </cell>
          <cell r="G393" t="str">
            <v>yes, cauline w/ intermediate morphology</v>
          </cell>
        </row>
        <row r="394">
          <cell r="B394">
            <v>4745861</v>
          </cell>
          <cell r="D394">
            <v>77914</v>
          </cell>
          <cell r="E394">
            <v>1967</v>
          </cell>
          <cell r="F394" t="str">
            <v>2 axiallary bud, 2 little leaf, 1 terminal bud cluster</v>
          </cell>
          <cell r="G394" t="str">
            <v>yes, basal</v>
          </cell>
        </row>
        <row r="395">
          <cell r="B395">
            <v>4745856</v>
          </cell>
          <cell r="D395">
            <v>77910</v>
          </cell>
          <cell r="E395">
            <v>1967</v>
          </cell>
          <cell r="F395" t="str">
            <v>4 axiallary buds with little leaves</v>
          </cell>
          <cell r="G395" t="str">
            <v>yes, basal with cauline morphology</v>
          </cell>
        </row>
        <row r="396">
          <cell r="B396">
            <v>4745870</v>
          </cell>
          <cell r="D396">
            <v>77920</v>
          </cell>
          <cell r="E396">
            <v>1967</v>
          </cell>
          <cell r="F396" t="str">
            <v>3 axiallary buds</v>
          </cell>
          <cell r="G396" t="str">
            <v>yes, basal</v>
          </cell>
        </row>
        <row r="397">
          <cell r="B397">
            <v>1563687</v>
          </cell>
          <cell r="D397" t="str">
            <v>UCR0083312</v>
          </cell>
          <cell r="E397">
            <v>1967</v>
          </cell>
          <cell r="F397" t="str">
            <v>4 bud clusters</v>
          </cell>
          <cell r="G397" t="str">
            <v>yes, cauline with basal morphology</v>
          </cell>
        </row>
        <row r="398">
          <cell r="B398">
            <v>2347205</v>
          </cell>
          <cell r="D398">
            <v>74217</v>
          </cell>
          <cell r="E398">
            <v>1967</v>
          </cell>
          <cell r="F398" t="str">
            <v>2 terminal bud clusters, 1 axiallary bud</v>
          </cell>
          <cell r="G398" t="str">
            <v>yes, basal</v>
          </cell>
        </row>
        <row r="399">
          <cell r="B399">
            <v>2414047</v>
          </cell>
          <cell r="D399">
            <v>74255</v>
          </cell>
          <cell r="E399">
            <v>1967</v>
          </cell>
          <cell r="F399" t="str">
            <v>3 axillary buds, 1 terminal bud cluster</v>
          </cell>
          <cell r="G399" t="str">
            <v>yes, cauline with intermediate morphology</v>
          </cell>
        </row>
        <row r="400">
          <cell r="B400">
            <v>5569674</v>
          </cell>
          <cell r="D400">
            <v>684517</v>
          </cell>
          <cell r="E400">
            <v>1967</v>
          </cell>
          <cell r="F400" t="str">
            <v>3 axillary buds</v>
          </cell>
          <cell r="G400" t="str">
            <v>yes, basal</v>
          </cell>
        </row>
        <row r="401">
          <cell r="B401">
            <v>2272450</v>
          </cell>
          <cell r="D401">
            <v>74275</v>
          </cell>
          <cell r="E401">
            <v>1967</v>
          </cell>
          <cell r="F401" t="str">
            <v>2 terminal bud cluster</v>
          </cell>
          <cell r="G401" t="str">
            <v>yes, basal</v>
          </cell>
        </row>
        <row r="402">
          <cell r="B402">
            <v>2313500</v>
          </cell>
          <cell r="D402">
            <v>74288</v>
          </cell>
          <cell r="E402">
            <v>1967</v>
          </cell>
          <cell r="F402" t="str">
            <v>3 axillary buds</v>
          </cell>
          <cell r="G402" t="str">
            <v xml:space="preserve">yes, cauline with basal morphology </v>
          </cell>
        </row>
        <row r="403">
          <cell r="B403">
            <v>2051496</v>
          </cell>
          <cell r="D403" t="str">
            <v>CHSC004031</v>
          </cell>
          <cell r="E403">
            <v>1967</v>
          </cell>
          <cell r="F403" t="str">
            <v>3 axiallary buds</v>
          </cell>
          <cell r="G403" t="str">
            <v>yes, cauline w/ intermediate morphology</v>
          </cell>
        </row>
        <row r="404">
          <cell r="B404">
            <v>3792172</v>
          </cell>
          <cell r="D404" t="str">
            <v>FSC0010457</v>
          </cell>
          <cell r="E404">
            <v>1967</v>
          </cell>
          <cell r="F404" t="str">
            <v>2 bud clusters</v>
          </cell>
          <cell r="G404" t="str">
            <v>yes, basal</v>
          </cell>
        </row>
        <row r="405">
          <cell r="B405">
            <v>3792182</v>
          </cell>
          <cell r="D405" t="str">
            <v>FSC0010467</v>
          </cell>
          <cell r="E405">
            <v>1967</v>
          </cell>
          <cell r="F405" t="str">
            <v>few bud clusters</v>
          </cell>
          <cell r="G405" t="str">
            <v>yes, basal</v>
          </cell>
        </row>
        <row r="406">
          <cell r="B406">
            <v>3792184</v>
          </cell>
          <cell r="D406" t="str">
            <v>FSC0010469</v>
          </cell>
          <cell r="E406">
            <v>1967</v>
          </cell>
          <cell r="F406" t="str">
            <v>3 bud clusters</v>
          </cell>
          <cell r="G406" t="str">
            <v>yes, cauline, not basal morphology</v>
          </cell>
        </row>
        <row r="407">
          <cell r="B407">
            <v>3792185</v>
          </cell>
          <cell r="D407" t="str">
            <v>FSC0010470</v>
          </cell>
          <cell r="E407">
            <v>1967</v>
          </cell>
          <cell r="F407" t="str">
            <v>4 bud clusters</v>
          </cell>
          <cell r="G407" t="str">
            <v>no</v>
          </cell>
        </row>
        <row r="408">
          <cell r="B408">
            <v>469007</v>
          </cell>
          <cell r="D408" t="str">
            <v>SD00062663</v>
          </cell>
          <cell r="E408">
            <v>1967</v>
          </cell>
          <cell r="F408" t="str">
            <v>3 bud clusters</v>
          </cell>
          <cell r="G408" t="str">
            <v xml:space="preserve"> yes, cauline</v>
          </cell>
        </row>
        <row r="409">
          <cell r="B409">
            <v>304600</v>
          </cell>
          <cell r="D409" t="str">
            <v>UCSB032061</v>
          </cell>
          <cell r="E409">
            <v>1967</v>
          </cell>
          <cell r="F409" t="str">
            <v>buds w extra</v>
          </cell>
          <cell r="G409" t="str">
            <v>yes, basal</v>
          </cell>
        </row>
        <row r="410">
          <cell r="B410">
            <v>738882</v>
          </cell>
          <cell r="D410" t="str">
            <v>UCR0083313</v>
          </cell>
          <cell r="E410">
            <v>1968</v>
          </cell>
          <cell r="F410" t="str">
            <v>4 bud clusters</v>
          </cell>
          <cell r="G410" t="str">
            <v>yes, cauline w/ intermediate morphology</v>
          </cell>
        </row>
        <row r="411">
          <cell r="B411">
            <v>2432397</v>
          </cell>
          <cell r="D411">
            <v>74187</v>
          </cell>
          <cell r="E411">
            <v>1968</v>
          </cell>
          <cell r="F411" t="str">
            <v>3 axillary buds</v>
          </cell>
          <cell r="G411" t="str">
            <v>yes, basal</v>
          </cell>
        </row>
        <row r="412">
          <cell r="B412">
            <v>2290954</v>
          </cell>
          <cell r="D412">
            <v>74257</v>
          </cell>
          <cell r="E412">
            <v>1968</v>
          </cell>
          <cell r="F412" t="str">
            <v>3 axillary buds</v>
          </cell>
          <cell r="G412" t="str">
            <v>yes, cauline with basal morphology</v>
          </cell>
        </row>
        <row r="413">
          <cell r="B413">
            <v>2328064</v>
          </cell>
          <cell r="D413">
            <v>74256</v>
          </cell>
          <cell r="E413">
            <v>1968</v>
          </cell>
          <cell r="F413" t="str">
            <v>4 axillary buds, 1 little leaf</v>
          </cell>
          <cell r="G413" t="str">
            <v>yes, cauline with basal morphology</v>
          </cell>
        </row>
        <row r="414">
          <cell r="B414">
            <v>5872878</v>
          </cell>
          <cell r="D414" t="str">
            <v>CHSC126717</v>
          </cell>
          <cell r="E414">
            <v>1968</v>
          </cell>
          <cell r="F414" t="str">
            <v>4 axillary buds</v>
          </cell>
          <cell r="G414" t="str">
            <v>yes, cauline w/ intermediate morphology</v>
          </cell>
        </row>
        <row r="415">
          <cell r="B415">
            <v>5872887</v>
          </cell>
          <cell r="D415" t="str">
            <v>CHSC126713</v>
          </cell>
          <cell r="E415">
            <v>1968</v>
          </cell>
          <cell r="F415" t="str">
            <v>2 axillary bud, 1 terminal bud cluster</v>
          </cell>
          <cell r="G415" t="str">
            <v xml:space="preserve">yes, basal </v>
          </cell>
        </row>
        <row r="416">
          <cell r="B416">
            <v>3792162</v>
          </cell>
          <cell r="D416" t="str">
            <v>FSC0010447</v>
          </cell>
          <cell r="E416">
            <v>1968</v>
          </cell>
          <cell r="F416" t="str">
            <v>2 bud clusters</v>
          </cell>
          <cell r="G416" t="str">
            <v>yes, basal</v>
          </cell>
        </row>
        <row r="417">
          <cell r="B417">
            <v>3792164</v>
          </cell>
          <cell r="D417" t="str">
            <v>FSC0010449</v>
          </cell>
          <cell r="E417">
            <v>1968</v>
          </cell>
          <cell r="F417" t="str">
            <v>several bud clusters</v>
          </cell>
          <cell r="G417" t="str">
            <v>yes, cauline with basal morphology</v>
          </cell>
        </row>
        <row r="418">
          <cell r="B418">
            <v>3792188</v>
          </cell>
          <cell r="D418" t="str">
            <v>FSC0010473</v>
          </cell>
          <cell r="E418">
            <v>1968</v>
          </cell>
          <cell r="F418" t="str">
            <v>1 bud cluster</v>
          </cell>
          <cell r="G418" t="str">
            <v>yes, cauline with basal morphology</v>
          </cell>
        </row>
        <row r="419">
          <cell r="B419">
            <v>202451</v>
          </cell>
          <cell r="D419" t="str">
            <v>OBI101739</v>
          </cell>
          <cell r="E419">
            <v>1968</v>
          </cell>
          <cell r="F419" t="str">
            <v>buds w extra</v>
          </cell>
          <cell r="G419" t="str">
            <v>yes, basal</v>
          </cell>
        </row>
        <row r="420">
          <cell r="B420">
            <v>202452</v>
          </cell>
          <cell r="D420" t="str">
            <v>OBI101738</v>
          </cell>
          <cell r="E420">
            <v>1968</v>
          </cell>
          <cell r="F420" t="str">
            <v>buds w extra</v>
          </cell>
          <cell r="G420" t="str">
            <v>yes, cauline with basal morphology</v>
          </cell>
        </row>
        <row r="421">
          <cell r="B421">
            <v>202488</v>
          </cell>
          <cell r="D421" t="str">
            <v>OBI101756</v>
          </cell>
          <cell r="E421">
            <v>1968</v>
          </cell>
          <cell r="F421" t="str">
            <v>buds w extra</v>
          </cell>
          <cell r="G421" t="str">
            <v>yes, basal</v>
          </cell>
        </row>
        <row r="422">
          <cell r="B422">
            <v>5504844</v>
          </cell>
          <cell r="D422">
            <v>684481</v>
          </cell>
          <cell r="E422">
            <v>1969</v>
          </cell>
          <cell r="F422" t="str">
            <v>4 axillary buds</v>
          </cell>
          <cell r="G422" t="str">
            <v xml:space="preserve">yes, basal  </v>
          </cell>
        </row>
        <row r="423">
          <cell r="B423">
            <v>5504848</v>
          </cell>
          <cell r="D423">
            <v>684485</v>
          </cell>
          <cell r="E423">
            <v>1969</v>
          </cell>
          <cell r="F423" t="str">
            <v>2 terminal bud clusters, 1 little leaf</v>
          </cell>
          <cell r="G423" t="str">
            <v>no</v>
          </cell>
        </row>
        <row r="424">
          <cell r="B424">
            <v>2397709</v>
          </cell>
          <cell r="D424">
            <v>74201</v>
          </cell>
          <cell r="E424">
            <v>1969</v>
          </cell>
          <cell r="F424" t="str">
            <v>2 axillary buds, 1 little leaf</v>
          </cell>
          <cell r="G424" t="str">
            <v xml:space="preserve">yes, basal </v>
          </cell>
        </row>
        <row r="425">
          <cell r="B425">
            <v>2272859</v>
          </cell>
          <cell r="D425">
            <v>74258</v>
          </cell>
          <cell r="E425">
            <v>1969</v>
          </cell>
          <cell r="F425" t="str">
            <v>3 axillary buds, 1 terminal bud cluster, 1 little leaf</v>
          </cell>
          <cell r="G425" t="str">
            <v>yes, cauline with basal morphology</v>
          </cell>
        </row>
        <row r="426">
          <cell r="B426">
            <v>5504859</v>
          </cell>
          <cell r="D426">
            <v>684497</v>
          </cell>
          <cell r="E426">
            <v>1969</v>
          </cell>
          <cell r="F426" t="str">
            <v>3 axillary buds</v>
          </cell>
          <cell r="G426" t="str">
            <v xml:space="preserve">yes, basal </v>
          </cell>
        </row>
        <row r="427">
          <cell r="B427">
            <v>2290218</v>
          </cell>
          <cell r="D427">
            <v>74286</v>
          </cell>
          <cell r="E427">
            <v>1969</v>
          </cell>
          <cell r="F427" t="str">
            <v>2 terminal bud clusters</v>
          </cell>
          <cell r="G427" t="str">
            <v>yes, basal</v>
          </cell>
        </row>
        <row r="428">
          <cell r="B428">
            <v>202491</v>
          </cell>
          <cell r="D428" t="str">
            <v>OBI101785</v>
          </cell>
          <cell r="E428">
            <v>1969</v>
          </cell>
          <cell r="F428" t="str">
            <v>buds w extra</v>
          </cell>
          <cell r="G428" t="str">
            <v>yes, cauline with basal morphology</v>
          </cell>
        </row>
        <row r="429">
          <cell r="B429">
            <v>202468</v>
          </cell>
          <cell r="D429" t="str">
            <v>OBI101760</v>
          </cell>
          <cell r="E429">
            <v>1969</v>
          </cell>
          <cell r="F429" t="str">
            <v>buds w extra</v>
          </cell>
          <cell r="G429" t="str">
            <v>yes, basal</v>
          </cell>
        </row>
        <row r="430">
          <cell r="B430">
            <v>375689</v>
          </cell>
          <cell r="D430" t="str">
            <v>SDSU01212</v>
          </cell>
          <cell r="E430">
            <v>1969</v>
          </cell>
          <cell r="F430" t="str">
            <v>young fruit (to test) &amp; 2 lil buds (remove to try fruit extraction)</v>
          </cell>
          <cell r="G430" t="str">
            <v>no</v>
          </cell>
        </row>
        <row r="431">
          <cell r="B431">
            <v>375697</v>
          </cell>
          <cell r="D431" t="str">
            <v>SDSU01220</v>
          </cell>
          <cell r="E431">
            <v>1969</v>
          </cell>
          <cell r="F431" t="str">
            <v>multiple axillary bud clusters</v>
          </cell>
          <cell r="G431" t="str">
            <v>yes, cauline with basal morphology</v>
          </cell>
        </row>
        <row r="432">
          <cell r="B432">
            <v>5504860</v>
          </cell>
          <cell r="D432">
            <v>684498</v>
          </cell>
          <cell r="E432">
            <v>1970</v>
          </cell>
          <cell r="F432" t="str">
            <v>3 axillary buds</v>
          </cell>
          <cell r="G432" t="str">
            <v>yes, cauline with intermediate morphology</v>
          </cell>
        </row>
        <row r="433">
          <cell r="B433">
            <v>5504865</v>
          </cell>
          <cell r="D433">
            <v>684504</v>
          </cell>
          <cell r="E433">
            <v>1970</v>
          </cell>
          <cell r="F433" t="str">
            <v>3 axillary buds</v>
          </cell>
          <cell r="G433" t="str">
            <v xml:space="preserve">yes, basal </v>
          </cell>
        </row>
        <row r="434">
          <cell r="B434">
            <v>2403101</v>
          </cell>
          <cell r="D434">
            <v>74287</v>
          </cell>
          <cell r="E434">
            <v>1970</v>
          </cell>
          <cell r="F434" t="str">
            <v>3 axillary buds</v>
          </cell>
          <cell r="G434" t="str">
            <v xml:space="preserve">yes, cauline with cauline morphology </v>
          </cell>
        </row>
        <row r="435">
          <cell r="B435">
            <v>5504852</v>
          </cell>
          <cell r="D435">
            <v>684489</v>
          </cell>
          <cell r="E435">
            <v>1970</v>
          </cell>
          <cell r="F435" t="str">
            <v>2 terminal bud clusters, 1 axillary bud</v>
          </cell>
          <cell r="G435" t="str">
            <v xml:space="preserve">yes, cauline with basal morphology </v>
          </cell>
        </row>
        <row r="436">
          <cell r="B436">
            <v>5504853</v>
          </cell>
          <cell r="D436">
            <v>684490</v>
          </cell>
          <cell r="E436">
            <v>1970</v>
          </cell>
          <cell r="F436" t="str">
            <v>3 axillary buds</v>
          </cell>
          <cell r="G436" t="str">
            <v>yes, basal</v>
          </cell>
        </row>
        <row r="437">
          <cell r="B437">
            <v>2452819</v>
          </cell>
          <cell r="D437">
            <v>74300</v>
          </cell>
          <cell r="E437">
            <v>1970</v>
          </cell>
          <cell r="F437" t="str">
            <v>1 large terminal bud cluster, 1 axially bud</v>
          </cell>
          <cell r="G437" t="str">
            <v>yes, cauline w/ intermediate morphology</v>
          </cell>
        </row>
        <row r="438">
          <cell r="B438">
            <v>5569854</v>
          </cell>
          <cell r="D438">
            <v>685182</v>
          </cell>
          <cell r="E438">
            <v>1970</v>
          </cell>
          <cell r="F438" t="str">
            <v>2 terminal bud cluster</v>
          </cell>
          <cell r="G438" t="str">
            <v>yes, basal</v>
          </cell>
        </row>
        <row r="439">
          <cell r="B439">
            <v>3792189</v>
          </cell>
          <cell r="D439" t="str">
            <v>FSC0010474</v>
          </cell>
          <cell r="E439">
            <v>1970</v>
          </cell>
          <cell r="F439" t="str">
            <v>3 bud clusters and lil leaf</v>
          </cell>
          <cell r="G439" t="str">
            <v>yes, cauline with basal morphology</v>
          </cell>
        </row>
        <row r="440">
          <cell r="B440">
            <v>202476</v>
          </cell>
          <cell r="D440" t="str">
            <v>OBI101772</v>
          </cell>
          <cell r="E440">
            <v>1970</v>
          </cell>
          <cell r="F440" t="str">
            <v>buds w extra</v>
          </cell>
          <cell r="G440" t="str">
            <v>yes, basal</v>
          </cell>
        </row>
        <row r="441">
          <cell r="B441">
            <v>469006</v>
          </cell>
          <cell r="D441" t="str">
            <v>SD00062664</v>
          </cell>
          <cell r="E441">
            <v>1971</v>
          </cell>
          <cell r="F441" t="str">
            <v>5 axillary buds; 2 little leaves</v>
          </cell>
          <cell r="G441" t="str">
            <v xml:space="preserve">yes, cauline with cauline morphology </v>
          </cell>
        </row>
        <row r="442">
          <cell r="B442">
            <v>5697344</v>
          </cell>
          <cell r="D442">
            <v>684496</v>
          </cell>
          <cell r="E442">
            <v>1971</v>
          </cell>
          <cell r="F442" t="str">
            <v>2 axillary bud, 1 terminal bud cluster</v>
          </cell>
          <cell r="G442" t="str">
            <v>yes, basal</v>
          </cell>
        </row>
        <row r="443">
          <cell r="B443">
            <v>5504866</v>
          </cell>
          <cell r="D443">
            <v>684505</v>
          </cell>
          <cell r="E443">
            <v>1971</v>
          </cell>
          <cell r="F443" t="str">
            <v xml:space="preserve">2 large axillary </v>
          </cell>
          <cell r="G443" t="str">
            <v>yes, basal</v>
          </cell>
        </row>
        <row r="444">
          <cell r="B444">
            <v>2039506</v>
          </cell>
          <cell r="D444" t="str">
            <v>CHSC026459</v>
          </cell>
          <cell r="E444">
            <v>1971</v>
          </cell>
          <cell r="F444" t="str">
            <v>1 axillary bud, 1 large bud cluster</v>
          </cell>
          <cell r="G444" t="str">
            <v>yes, basal</v>
          </cell>
        </row>
        <row r="445">
          <cell r="B445">
            <v>202478</v>
          </cell>
          <cell r="D445" t="str">
            <v>OBI101752</v>
          </cell>
          <cell r="E445">
            <v>1971</v>
          </cell>
          <cell r="F445" t="str">
            <v>buds w extra</v>
          </cell>
          <cell r="G445" t="str">
            <v>yes, cauline with basal morphology</v>
          </cell>
        </row>
        <row r="446">
          <cell r="B446">
            <v>5509708</v>
          </cell>
          <cell r="D446" t="str">
            <v>UC2079007</v>
          </cell>
          <cell r="E446">
            <v>1971</v>
          </cell>
          <cell r="F446" t="str">
            <v>1 big bud cluster</v>
          </cell>
          <cell r="G446" t="str">
            <v>yes, cauline with intermediate morphology</v>
          </cell>
        </row>
        <row r="447">
          <cell r="B447">
            <v>304577</v>
          </cell>
          <cell r="D447" t="str">
            <v>UCSB032021</v>
          </cell>
          <cell r="E447">
            <v>1971</v>
          </cell>
          <cell r="F447" t="str">
            <v>buds w extra</v>
          </cell>
          <cell r="G447" t="str">
            <v>yes, basal</v>
          </cell>
        </row>
        <row r="448">
          <cell r="B448">
            <v>304593</v>
          </cell>
          <cell r="D448" t="str">
            <v>UCSB032037</v>
          </cell>
          <cell r="E448">
            <v>1971</v>
          </cell>
          <cell r="F448" t="str">
            <v>buds w extra</v>
          </cell>
          <cell r="G448" t="str">
            <v>yes, cauline with basal morphology</v>
          </cell>
        </row>
        <row r="449">
          <cell r="B449">
            <v>2342720</v>
          </cell>
          <cell r="D449">
            <v>74214</v>
          </cell>
          <cell r="E449">
            <v>1972</v>
          </cell>
          <cell r="F449" t="str">
            <v>2 axillary buds, 1 terminal bud cluster, a little leaf</v>
          </cell>
          <cell r="G449" t="str">
            <v>yes, cauline with intermediate morphology</v>
          </cell>
        </row>
        <row r="450">
          <cell r="B450">
            <v>5569852</v>
          </cell>
          <cell r="D450">
            <v>685180</v>
          </cell>
          <cell r="E450">
            <v>1972</v>
          </cell>
          <cell r="F450" t="str">
            <v>3 axillary bud, 1 terminal</v>
          </cell>
          <cell r="G450" t="str">
            <v>yes, basal</v>
          </cell>
        </row>
        <row r="451">
          <cell r="B451">
            <v>5569853</v>
          </cell>
          <cell r="D451">
            <v>685181</v>
          </cell>
          <cell r="E451">
            <v>1972</v>
          </cell>
          <cell r="F451" t="str">
            <v>3 axiallary buds</v>
          </cell>
          <cell r="G451" t="str">
            <v>yes, basal</v>
          </cell>
        </row>
        <row r="452">
          <cell r="B452" t="str">
            <v>NA</v>
          </cell>
          <cell r="D452">
            <v>685179</v>
          </cell>
          <cell r="E452">
            <v>1972</v>
          </cell>
          <cell r="F452" t="str">
            <v xml:space="preserve">1 large axillary bud, 2 little leaf </v>
          </cell>
          <cell r="G452" t="str">
            <v>yes, cauline w/ intermediate morphology</v>
          </cell>
        </row>
        <row r="453">
          <cell r="B453">
            <v>202454</v>
          </cell>
          <cell r="D453" t="str">
            <v>OBI101778</v>
          </cell>
          <cell r="E453">
            <v>1972</v>
          </cell>
          <cell r="F453" t="str">
            <v>buds w extra</v>
          </cell>
          <cell r="G453" t="str">
            <v>yes, cauline with basal morphology</v>
          </cell>
        </row>
        <row r="454">
          <cell r="B454">
            <v>5504846</v>
          </cell>
          <cell r="D454">
            <v>684483</v>
          </cell>
          <cell r="E454">
            <v>1973</v>
          </cell>
          <cell r="F454" t="str">
            <v>4 axillary buds</v>
          </cell>
          <cell r="G454" t="str">
            <v>no</v>
          </cell>
        </row>
        <row r="455">
          <cell r="B455">
            <v>5504868</v>
          </cell>
          <cell r="D455">
            <v>684507</v>
          </cell>
          <cell r="E455">
            <v>1973</v>
          </cell>
          <cell r="F455" t="str">
            <v>4 axiallary buds</v>
          </cell>
          <cell r="G455" t="str">
            <v>yes, cauline with intermediate morphology</v>
          </cell>
        </row>
        <row r="456">
          <cell r="B456">
            <v>2439512</v>
          </cell>
          <cell r="D456">
            <v>74266</v>
          </cell>
          <cell r="E456">
            <v>1973</v>
          </cell>
          <cell r="F456" t="str">
            <v>3 axiallary buds</v>
          </cell>
          <cell r="G456" t="str">
            <v>yes, basal</v>
          </cell>
        </row>
        <row r="457">
          <cell r="B457">
            <v>2457183</v>
          </cell>
          <cell r="D457">
            <v>74340</v>
          </cell>
          <cell r="E457">
            <v>1973</v>
          </cell>
          <cell r="F457" t="str">
            <v>2 terminal bud cluster</v>
          </cell>
          <cell r="G457" t="str">
            <v>no</v>
          </cell>
        </row>
        <row r="458">
          <cell r="B458">
            <v>2406880</v>
          </cell>
          <cell r="D458">
            <v>74339</v>
          </cell>
          <cell r="E458">
            <v>1973</v>
          </cell>
          <cell r="F458" t="str">
            <v>1 axillary bud, 1 terminal bud cluster</v>
          </cell>
          <cell r="G458" t="str">
            <v>yes, cauline with basal morphology</v>
          </cell>
        </row>
        <row r="459">
          <cell r="B459">
            <v>5737995</v>
          </cell>
          <cell r="D459" t="str">
            <v>CHSC125469</v>
          </cell>
          <cell r="E459">
            <v>1973</v>
          </cell>
          <cell r="F459" t="str">
            <v>4 axiallary buds</v>
          </cell>
          <cell r="G459" t="str">
            <v>yes, cauline with basal morphology</v>
          </cell>
        </row>
        <row r="460">
          <cell r="B460">
            <v>3792187</v>
          </cell>
          <cell r="D460" t="str">
            <v>FSC0010472</v>
          </cell>
          <cell r="E460">
            <v>1973</v>
          </cell>
          <cell r="F460" t="str">
            <v>3 bud clusters</v>
          </cell>
          <cell r="G460" t="str">
            <v>yes, cauline, intermediate morphology</v>
          </cell>
        </row>
        <row r="461">
          <cell r="B461">
            <v>3425410</v>
          </cell>
          <cell r="D461" t="str">
            <v>JEPS78175</v>
          </cell>
          <cell r="E461">
            <v>1973</v>
          </cell>
          <cell r="F461" t="str">
            <v>3 bud clusters, 1 little leaf</v>
          </cell>
          <cell r="G461" t="str">
            <v>yes, basal</v>
          </cell>
        </row>
        <row r="462">
          <cell r="B462">
            <v>79706</v>
          </cell>
          <cell r="D462" t="str">
            <v>SBBG213828</v>
          </cell>
          <cell r="E462">
            <v>1974</v>
          </cell>
          <cell r="F462" t="str">
            <v>8 axillary buds</v>
          </cell>
          <cell r="G462" t="str">
            <v xml:space="preserve">yes, cauline with cauline morphology </v>
          </cell>
        </row>
        <row r="463">
          <cell r="B463">
            <v>5504850</v>
          </cell>
          <cell r="D463">
            <v>684487</v>
          </cell>
          <cell r="E463">
            <v>1974</v>
          </cell>
          <cell r="F463" t="str">
            <v>4 axillary buds, 2 little leaves</v>
          </cell>
          <cell r="G463" t="str">
            <v>yes, basal</v>
          </cell>
        </row>
        <row r="464">
          <cell r="B464">
            <v>2438182</v>
          </cell>
          <cell r="D464">
            <v>74338</v>
          </cell>
          <cell r="E464">
            <v>1974</v>
          </cell>
          <cell r="F464" t="str">
            <v>1 axillary bud, 1 terminal bud cluster</v>
          </cell>
          <cell r="G464" t="str">
            <v xml:space="preserve">yes, cauline with cauline morphology </v>
          </cell>
        </row>
        <row r="465">
          <cell r="B465">
            <v>2395241</v>
          </cell>
          <cell r="D465">
            <v>74351</v>
          </cell>
          <cell r="E465">
            <v>1974</v>
          </cell>
          <cell r="F465" t="str">
            <v>3 axillary bud, 1 little leaf</v>
          </cell>
          <cell r="G465" t="str">
            <v>yes, cauline with basal morphology</v>
          </cell>
        </row>
        <row r="466">
          <cell r="B466">
            <v>3792170</v>
          </cell>
          <cell r="D466" t="str">
            <v>FSC0010455</v>
          </cell>
          <cell r="E466">
            <v>1974</v>
          </cell>
          <cell r="F466" t="str">
            <v>2 bud clusters</v>
          </cell>
          <cell r="G466" t="str">
            <v>no</v>
          </cell>
        </row>
        <row r="467">
          <cell r="B467">
            <v>3792183</v>
          </cell>
          <cell r="D467" t="str">
            <v>FSC0010468</v>
          </cell>
          <cell r="E467">
            <v>1974</v>
          </cell>
          <cell r="F467" t="str">
            <v>3 bud clusters</v>
          </cell>
          <cell r="G467" t="str">
            <v>yes, basal</v>
          </cell>
        </row>
        <row r="468">
          <cell r="B468">
            <v>3792195</v>
          </cell>
          <cell r="D468" t="str">
            <v>FSC0010480</v>
          </cell>
          <cell r="E468">
            <v>1974</v>
          </cell>
          <cell r="F468" t="str">
            <v>2 bud clusters and lil leaf</v>
          </cell>
          <cell r="G468" t="str">
            <v>no</v>
          </cell>
        </row>
        <row r="469">
          <cell r="B469">
            <v>3792198</v>
          </cell>
          <cell r="D469" t="str">
            <v>FSC0010483</v>
          </cell>
          <cell r="E469">
            <v>1974</v>
          </cell>
          <cell r="F469" t="str">
            <v>few bud clusters</v>
          </cell>
          <cell r="G469" t="str">
            <v>yes, basal</v>
          </cell>
        </row>
        <row r="470">
          <cell r="B470">
            <v>304591</v>
          </cell>
          <cell r="D470" t="str">
            <v>UCSB032039</v>
          </cell>
          <cell r="E470">
            <v>1974</v>
          </cell>
          <cell r="F470" t="str">
            <v>buds w extra</v>
          </cell>
          <cell r="G470" t="str">
            <v>yes, basal</v>
          </cell>
        </row>
        <row r="471">
          <cell r="B471">
            <v>2404723</v>
          </cell>
          <cell r="D471">
            <v>74228</v>
          </cell>
          <cell r="E471">
            <v>1975</v>
          </cell>
          <cell r="F471" t="str">
            <v>1 terminal bud cluster, 2 axillary buds</v>
          </cell>
          <cell r="G471" t="str">
            <v>yes, cauline</v>
          </cell>
        </row>
        <row r="472">
          <cell r="B472">
            <v>5504870</v>
          </cell>
          <cell r="D472">
            <v>684509</v>
          </cell>
          <cell r="E472">
            <v>1975</v>
          </cell>
          <cell r="F472" t="str">
            <v>2 axillary bud</v>
          </cell>
          <cell r="G472" t="str">
            <v>yes, basal</v>
          </cell>
        </row>
        <row r="473">
          <cell r="B473">
            <v>2034914</v>
          </cell>
          <cell r="D473" t="str">
            <v>CHSC021252</v>
          </cell>
          <cell r="E473">
            <v>1975</v>
          </cell>
          <cell r="F473" t="str">
            <v>2 axiallary bud, 1 little leaf</v>
          </cell>
          <cell r="G473" t="str">
            <v>yes, basal</v>
          </cell>
        </row>
        <row r="474">
          <cell r="B474">
            <v>1367981</v>
          </cell>
          <cell r="D474" t="str">
            <v>DAV300677</v>
          </cell>
          <cell r="E474">
            <v>1976</v>
          </cell>
          <cell r="F474" t="str">
            <v>3 axiallary bud</v>
          </cell>
          <cell r="G474" t="str">
            <v>yes, cauline w/ intermediate morphology</v>
          </cell>
        </row>
        <row r="475">
          <cell r="B475">
            <v>2291266</v>
          </cell>
          <cell r="D475">
            <v>74199</v>
          </cell>
          <cell r="E475">
            <v>1976</v>
          </cell>
          <cell r="F475" t="str">
            <v>3 terminal  bud clusters, some loose flower buds</v>
          </cell>
          <cell r="G475" t="str">
            <v xml:space="preserve">yes, cauline, with cauline morphology </v>
          </cell>
        </row>
        <row r="476">
          <cell r="B476">
            <v>106537</v>
          </cell>
          <cell r="D476" t="str">
            <v>SBBG213844</v>
          </cell>
          <cell r="E476">
            <v>1977</v>
          </cell>
          <cell r="F476" t="str">
            <v>6 bud clusters</v>
          </cell>
          <cell r="G476" t="str">
            <v>yes, cauline w/ intermediate morphology</v>
          </cell>
        </row>
        <row r="477">
          <cell r="B477">
            <v>1399932</v>
          </cell>
          <cell r="D477" t="str">
            <v>DAV310434</v>
          </cell>
          <cell r="E477">
            <v>1977</v>
          </cell>
          <cell r="F477" t="str">
            <v>4 axiallary buds</v>
          </cell>
          <cell r="G477" t="str">
            <v>yes, cauline w/ intermediate morphology</v>
          </cell>
        </row>
        <row r="478">
          <cell r="B478">
            <v>2322844</v>
          </cell>
          <cell r="D478">
            <v>74182</v>
          </cell>
          <cell r="E478">
            <v>1977</v>
          </cell>
          <cell r="F478" t="str">
            <v>3 axiallary buds, loose flower buds</v>
          </cell>
          <cell r="G478" t="str">
            <v xml:space="preserve">yes, basal </v>
          </cell>
        </row>
        <row r="479">
          <cell r="B479">
            <v>2767670</v>
          </cell>
          <cell r="D479">
            <v>539311</v>
          </cell>
          <cell r="E479">
            <v>1977</v>
          </cell>
          <cell r="F479" t="str">
            <v>3 axiallary buds, 1 terminal bud cluster</v>
          </cell>
          <cell r="G479" t="str">
            <v>yes, cauline with intermediate morphology</v>
          </cell>
        </row>
        <row r="480">
          <cell r="B480">
            <v>2056948</v>
          </cell>
          <cell r="D480" t="str">
            <v>CHSC046484</v>
          </cell>
          <cell r="E480">
            <v>1977</v>
          </cell>
          <cell r="F480" t="str">
            <v>1 big axillary bud</v>
          </cell>
          <cell r="G480" t="str">
            <v>yes, basal</v>
          </cell>
        </row>
        <row r="481">
          <cell r="B481">
            <v>3792186</v>
          </cell>
          <cell r="D481" t="str">
            <v>FSC0010471</v>
          </cell>
          <cell r="E481">
            <v>1977</v>
          </cell>
          <cell r="F481" t="str">
            <v>4 bud clusters</v>
          </cell>
          <cell r="G481" t="str">
            <v>yes, basal</v>
          </cell>
        </row>
        <row r="482">
          <cell r="B482">
            <v>202503</v>
          </cell>
          <cell r="D482" t="str">
            <v>OBI101736</v>
          </cell>
          <cell r="E482">
            <v>1977</v>
          </cell>
          <cell r="F482" t="str">
            <v>buds w extra</v>
          </cell>
          <cell r="G482" t="str">
            <v>yes, basal, but dry/yellowed</v>
          </cell>
        </row>
        <row r="483">
          <cell r="B483">
            <v>2355201</v>
          </cell>
          <cell r="D483">
            <v>74180</v>
          </cell>
          <cell r="E483">
            <v>1978</v>
          </cell>
          <cell r="F483" t="str">
            <v>3 terminal  bud clusters</v>
          </cell>
          <cell r="G483" t="str">
            <v>no</v>
          </cell>
        </row>
        <row r="484">
          <cell r="B484">
            <v>2278606</v>
          </cell>
          <cell r="D484">
            <v>74203</v>
          </cell>
          <cell r="E484">
            <v>1978</v>
          </cell>
          <cell r="F484" t="str">
            <v xml:space="preserve">1 large terminal bud cluster, 1 axially bud, 1 small leaf </v>
          </cell>
          <cell r="G484" t="str">
            <v>yes, basal</v>
          </cell>
        </row>
        <row r="485">
          <cell r="B485">
            <v>2355178</v>
          </cell>
          <cell r="D485">
            <v>74292</v>
          </cell>
          <cell r="E485">
            <v>1978</v>
          </cell>
          <cell r="F485" t="str">
            <v>3 axillary buds, 1 terminal bud cluster</v>
          </cell>
          <cell r="G485" t="str">
            <v xml:space="preserve">yes, basal </v>
          </cell>
        </row>
        <row r="486">
          <cell r="B486">
            <v>2312543</v>
          </cell>
          <cell r="D486">
            <v>74293</v>
          </cell>
          <cell r="E486">
            <v>1978</v>
          </cell>
          <cell r="F486" t="str">
            <v>3 axillary buds</v>
          </cell>
          <cell r="G486" t="str">
            <v>yes, cauline with intermediate morphology</v>
          </cell>
        </row>
        <row r="487">
          <cell r="B487">
            <v>2040704</v>
          </cell>
          <cell r="D487" t="str">
            <v>CHSC027838</v>
          </cell>
          <cell r="E487">
            <v>1978</v>
          </cell>
          <cell r="F487" t="str">
            <v>4 axiallary buds, 1 leaf</v>
          </cell>
          <cell r="G487" t="str">
            <v>yes, basal</v>
          </cell>
        </row>
        <row r="488">
          <cell r="B488">
            <v>3792156</v>
          </cell>
          <cell r="D488" t="str">
            <v>FSC0010441</v>
          </cell>
          <cell r="E488">
            <v>1978</v>
          </cell>
          <cell r="F488" t="str">
            <v>2 floral bud clusters</v>
          </cell>
          <cell r="G488" t="str">
            <v>yes, basal</v>
          </cell>
        </row>
        <row r="489">
          <cell r="B489">
            <v>304555</v>
          </cell>
          <cell r="D489" t="str">
            <v>UCSB031997</v>
          </cell>
          <cell r="E489">
            <v>1978</v>
          </cell>
          <cell r="F489" t="str">
            <v>buds w extra</v>
          </cell>
          <cell r="G489" t="str">
            <v>yes, basal</v>
          </cell>
        </row>
        <row r="490">
          <cell r="B490">
            <v>2414894</v>
          </cell>
          <cell r="D490">
            <v>74294</v>
          </cell>
          <cell r="E490">
            <v>1979</v>
          </cell>
          <cell r="F490" t="str">
            <v>2 axillary buds</v>
          </cell>
          <cell r="G490" t="str">
            <v>no</v>
          </cell>
        </row>
        <row r="491">
          <cell r="B491">
            <v>2044164</v>
          </cell>
          <cell r="D491" t="str">
            <v>CHSC031957</v>
          </cell>
          <cell r="E491">
            <v>1979</v>
          </cell>
          <cell r="F491" t="str">
            <v>5 axillary buds</v>
          </cell>
          <cell r="G491" t="str">
            <v>yes, basal</v>
          </cell>
        </row>
        <row r="492">
          <cell r="B492">
            <v>202474</v>
          </cell>
          <cell r="D492" t="str">
            <v>OBI101784</v>
          </cell>
          <cell r="E492">
            <v>1979</v>
          </cell>
          <cell r="F492" t="str">
            <v>buds w extra</v>
          </cell>
          <cell r="G492" t="str">
            <v>yes, cauline with basal morphology</v>
          </cell>
        </row>
        <row r="493">
          <cell r="B493">
            <v>6008207</v>
          </cell>
          <cell r="D493" t="str">
            <v>OBI213742</v>
          </cell>
          <cell r="E493">
            <v>1979</v>
          </cell>
          <cell r="F493" t="str">
            <v>buds w extra</v>
          </cell>
          <cell r="G493" t="str">
            <v>yes, cauline with basal morphology</v>
          </cell>
        </row>
        <row r="494">
          <cell r="B494">
            <v>202457</v>
          </cell>
          <cell r="D494" t="str">
            <v>OBI101757</v>
          </cell>
          <cell r="E494">
            <v>1979</v>
          </cell>
          <cell r="F494" t="str">
            <v>buds w extra</v>
          </cell>
          <cell r="G494" t="str">
            <v>yes, cauline with basal morphology</v>
          </cell>
        </row>
        <row r="495">
          <cell r="B495">
            <v>317992</v>
          </cell>
          <cell r="D495" t="str">
            <v>UCSB033414</v>
          </cell>
          <cell r="E495">
            <v>1979</v>
          </cell>
          <cell r="F495" t="str">
            <v>buds w extra</v>
          </cell>
          <cell r="G495" t="str">
            <v>yes, cauline, not basal morphology</v>
          </cell>
        </row>
        <row r="496">
          <cell r="B496">
            <v>304548</v>
          </cell>
          <cell r="D496" t="str">
            <v>UCSB032004</v>
          </cell>
          <cell r="E496">
            <v>1979</v>
          </cell>
          <cell r="F496" t="str">
            <v>buds w extra</v>
          </cell>
          <cell r="G496" t="str">
            <v>yes, basal</v>
          </cell>
        </row>
        <row r="497">
          <cell r="B497">
            <v>304557</v>
          </cell>
          <cell r="D497" t="str">
            <v>UCSB032012</v>
          </cell>
          <cell r="E497">
            <v>1979</v>
          </cell>
          <cell r="F497" t="str">
            <v>buds w extra</v>
          </cell>
          <cell r="G497" t="str">
            <v>yes, basal</v>
          </cell>
        </row>
        <row r="498">
          <cell r="B498">
            <v>1443128</v>
          </cell>
          <cell r="D498" t="str">
            <v>UCR0083374</v>
          </cell>
          <cell r="E498">
            <v>1980</v>
          </cell>
          <cell r="F498" t="str">
            <v>5 axillary buds, 1 little leaf</v>
          </cell>
          <cell r="G498" t="str">
            <v xml:space="preserve">yes, cauline with cauline morphology </v>
          </cell>
        </row>
        <row r="499">
          <cell r="B499">
            <v>2308947</v>
          </cell>
          <cell r="D499">
            <v>74179</v>
          </cell>
          <cell r="E499">
            <v>1980</v>
          </cell>
          <cell r="F499" t="str">
            <v>2 axiallary buds, 1 terminal bud cluster</v>
          </cell>
          <cell r="G499" t="str">
            <v>yes, cauline</v>
          </cell>
        </row>
        <row r="500">
          <cell r="B500">
            <v>2314219</v>
          </cell>
          <cell r="D500">
            <v>74265</v>
          </cell>
          <cell r="E500">
            <v>1980</v>
          </cell>
          <cell r="F500" t="str">
            <v>2 terminal bud cluster</v>
          </cell>
          <cell r="G500" t="str">
            <v>yes, basal</v>
          </cell>
        </row>
        <row r="501">
          <cell r="B501">
            <v>2286151</v>
          </cell>
          <cell r="D501">
            <v>74314</v>
          </cell>
          <cell r="E501">
            <v>1980</v>
          </cell>
          <cell r="F501" t="str">
            <v>3 axillary buds</v>
          </cell>
          <cell r="G501" t="str">
            <v>yes, cauline with intermediate morphology</v>
          </cell>
        </row>
        <row r="502">
          <cell r="B502">
            <v>3792190</v>
          </cell>
          <cell r="D502" t="str">
            <v>FSC0010475</v>
          </cell>
          <cell r="E502">
            <v>1980</v>
          </cell>
          <cell r="F502" t="str">
            <v>multiple big bud clusters</v>
          </cell>
          <cell r="G502" t="str">
            <v>yes, cauline with basal morphology</v>
          </cell>
        </row>
        <row r="503">
          <cell r="B503">
            <v>202447</v>
          </cell>
          <cell r="D503" t="str">
            <v>OBI101737</v>
          </cell>
          <cell r="E503">
            <v>1980</v>
          </cell>
          <cell r="F503" t="str">
            <v>buds w extra</v>
          </cell>
          <cell r="G503" t="str">
            <v>yes, cauline with basal morphology</v>
          </cell>
        </row>
        <row r="504">
          <cell r="B504">
            <v>202473</v>
          </cell>
          <cell r="D504" t="str">
            <v>OBI101787</v>
          </cell>
          <cell r="E504">
            <v>1980</v>
          </cell>
          <cell r="F504" t="str">
            <v>buds w extra</v>
          </cell>
          <cell r="G504" t="str">
            <v>yes, basal</v>
          </cell>
        </row>
        <row r="505">
          <cell r="B505">
            <v>202483</v>
          </cell>
          <cell r="D505" t="str">
            <v>OBI101779</v>
          </cell>
          <cell r="E505">
            <v>1980</v>
          </cell>
          <cell r="F505" t="str">
            <v>buds w extra</v>
          </cell>
          <cell r="G505" t="str">
            <v>yes, cauline, not basal morphology</v>
          </cell>
        </row>
        <row r="506">
          <cell r="B506">
            <v>202461</v>
          </cell>
          <cell r="D506" t="str">
            <v>OBI101747</v>
          </cell>
          <cell r="E506">
            <v>1980</v>
          </cell>
          <cell r="F506" t="str">
            <v>buds w extra</v>
          </cell>
          <cell r="G506" t="str">
            <v>yes, cauline with basal morphology</v>
          </cell>
        </row>
        <row r="507">
          <cell r="B507">
            <v>304540</v>
          </cell>
          <cell r="D507" t="str">
            <v>UCSB031991</v>
          </cell>
          <cell r="E507">
            <v>1980</v>
          </cell>
          <cell r="F507" t="str">
            <v>buds w extra</v>
          </cell>
          <cell r="G507" t="str">
            <v>yes, cauline with basal morphology</v>
          </cell>
        </row>
        <row r="508">
          <cell r="B508">
            <v>304539</v>
          </cell>
          <cell r="D508" t="str">
            <v>UCSB031992</v>
          </cell>
          <cell r="E508">
            <v>1980</v>
          </cell>
          <cell r="F508" t="str">
            <v>buds w extra</v>
          </cell>
          <cell r="G508" t="str">
            <v>yes, basal</v>
          </cell>
        </row>
        <row r="509">
          <cell r="B509">
            <v>3726378</v>
          </cell>
          <cell r="D509" t="str">
            <v>UCSB054632</v>
          </cell>
          <cell r="E509">
            <v>1980</v>
          </cell>
          <cell r="F509" t="str">
            <v>buds w extra</v>
          </cell>
          <cell r="G509" t="str">
            <v>yes, basal</v>
          </cell>
        </row>
        <row r="510">
          <cell r="B510">
            <v>330070</v>
          </cell>
          <cell r="D510" t="str">
            <v>UCSB040102</v>
          </cell>
          <cell r="E510">
            <v>1980</v>
          </cell>
          <cell r="F510" t="str">
            <v>buds w extra</v>
          </cell>
          <cell r="G510" t="str">
            <v>no</v>
          </cell>
        </row>
        <row r="511">
          <cell r="B511">
            <v>304608</v>
          </cell>
          <cell r="D511" t="str">
            <v>UCSB032053</v>
          </cell>
          <cell r="E511">
            <v>1980</v>
          </cell>
          <cell r="F511" t="str">
            <v>buds w extra</v>
          </cell>
          <cell r="G511" t="str">
            <v>yes, basal</v>
          </cell>
        </row>
        <row r="512">
          <cell r="B512">
            <v>1443129</v>
          </cell>
          <cell r="D512" t="str">
            <v>UCR0083346</v>
          </cell>
          <cell r="E512">
            <v>1981</v>
          </cell>
          <cell r="F512" t="str">
            <v>3 axiallary buds</v>
          </cell>
          <cell r="G512" t="str">
            <v>yes, cauline w/ intermediate morphology</v>
          </cell>
        </row>
        <row r="513">
          <cell r="B513">
            <v>2315373</v>
          </cell>
          <cell r="D513">
            <v>74238</v>
          </cell>
          <cell r="E513">
            <v>1981</v>
          </cell>
          <cell r="F513" t="str">
            <v>2 axillary buds, 1 large terminal cluster</v>
          </cell>
          <cell r="G513" t="str">
            <v>yes, basal</v>
          </cell>
        </row>
        <row r="514">
          <cell r="B514">
            <v>2423284</v>
          </cell>
          <cell r="D514">
            <v>74315</v>
          </cell>
          <cell r="E514">
            <v>1981</v>
          </cell>
          <cell r="F514" t="str">
            <v>3 axillary buds</v>
          </cell>
          <cell r="G514" t="str">
            <v>yes, basal</v>
          </cell>
        </row>
        <row r="515">
          <cell r="B515">
            <v>3792192</v>
          </cell>
          <cell r="D515" t="str">
            <v>FSC0010477</v>
          </cell>
          <cell r="E515">
            <v>1981</v>
          </cell>
          <cell r="F515" t="str">
            <v>multiple bud clusters</v>
          </cell>
          <cell r="G515" t="str">
            <v>yes, basal</v>
          </cell>
        </row>
        <row r="516">
          <cell r="B516">
            <v>3792193</v>
          </cell>
          <cell r="D516" t="str">
            <v>FSC0010478</v>
          </cell>
          <cell r="E516">
            <v>1981</v>
          </cell>
          <cell r="F516" t="str">
            <v>several bud clusters</v>
          </cell>
          <cell r="G516" t="str">
            <v>yes, basal</v>
          </cell>
        </row>
        <row r="517">
          <cell r="B517">
            <v>304607</v>
          </cell>
          <cell r="D517" t="str">
            <v>UCSB032054</v>
          </cell>
          <cell r="E517">
            <v>1981</v>
          </cell>
          <cell r="F517" t="str">
            <v>buds w extra</v>
          </cell>
          <cell r="G517" t="str">
            <v>yes, cauline with basal morphology</v>
          </cell>
        </row>
        <row r="518">
          <cell r="B518">
            <v>291609</v>
          </cell>
          <cell r="D518" t="str">
            <v>UCSB032066</v>
          </cell>
          <cell r="E518">
            <v>1981</v>
          </cell>
          <cell r="F518" t="str">
            <v>buds w extra</v>
          </cell>
          <cell r="G518" t="str">
            <v>yes, cauline with basal morphology</v>
          </cell>
        </row>
        <row r="519">
          <cell r="B519">
            <v>91393</v>
          </cell>
          <cell r="D519" t="str">
            <v>SBBG213822</v>
          </cell>
          <cell r="E519">
            <v>1982</v>
          </cell>
          <cell r="F519" t="str">
            <v>2 axillary buds</v>
          </cell>
          <cell r="G519" t="str">
            <v>yes, basal</v>
          </cell>
        </row>
        <row r="520">
          <cell r="B520">
            <v>2322749</v>
          </cell>
          <cell r="D520">
            <v>74237</v>
          </cell>
          <cell r="E520">
            <v>1982</v>
          </cell>
          <cell r="F520" t="str">
            <v>2 terminal bud clusters, 1 axillary bud</v>
          </cell>
          <cell r="G520" t="str">
            <v>yes, basal</v>
          </cell>
        </row>
        <row r="521">
          <cell r="B521">
            <v>5504869</v>
          </cell>
          <cell r="D521">
            <v>684508</v>
          </cell>
          <cell r="E521">
            <v>1982</v>
          </cell>
          <cell r="F521" t="str">
            <v>1 axillary bud</v>
          </cell>
          <cell r="G521" t="str">
            <v>yes, cauline with intermediate morphology</v>
          </cell>
        </row>
        <row r="522">
          <cell r="B522">
            <v>5569680</v>
          </cell>
          <cell r="D522">
            <v>684523</v>
          </cell>
          <cell r="E522">
            <v>1982</v>
          </cell>
          <cell r="F522" t="str">
            <v>3 terminal bud cluster</v>
          </cell>
          <cell r="G522" t="str">
            <v>no</v>
          </cell>
        </row>
        <row r="523">
          <cell r="B523">
            <v>5569681</v>
          </cell>
          <cell r="D523">
            <v>684524</v>
          </cell>
          <cell r="E523">
            <v>1982</v>
          </cell>
          <cell r="F523" t="str">
            <v>3 axillary buds</v>
          </cell>
          <cell r="G523" t="str">
            <v>yes, basal</v>
          </cell>
        </row>
        <row r="524">
          <cell r="B524">
            <v>2287409</v>
          </cell>
          <cell r="D524">
            <v>74310</v>
          </cell>
          <cell r="E524">
            <v>1982</v>
          </cell>
          <cell r="F524" t="str">
            <v>1 axillary bud, 1 terminal bud cluster</v>
          </cell>
          <cell r="G524" t="str">
            <v>yes, cauline</v>
          </cell>
        </row>
        <row r="525">
          <cell r="B525">
            <v>2046467</v>
          </cell>
          <cell r="D525" t="str">
            <v>CHSC034565</v>
          </cell>
          <cell r="E525">
            <v>1982</v>
          </cell>
          <cell r="F525" t="str">
            <v>4 axiallary buds</v>
          </cell>
          <cell r="G525" t="str">
            <v>yes, cauline with basal morphology</v>
          </cell>
        </row>
        <row r="526">
          <cell r="B526">
            <v>2049533</v>
          </cell>
          <cell r="D526" t="str">
            <v>CHSC038030</v>
          </cell>
          <cell r="E526">
            <v>1982</v>
          </cell>
          <cell r="F526" t="str">
            <v>4 axiallary buds</v>
          </cell>
          <cell r="G526" t="str">
            <v>yes, basal</v>
          </cell>
        </row>
        <row r="527">
          <cell r="B527">
            <v>2046466</v>
          </cell>
          <cell r="D527" t="str">
            <v>CHSC034564</v>
          </cell>
          <cell r="E527">
            <v>1982</v>
          </cell>
          <cell r="F527" t="str">
            <v>3 apical bud clusters</v>
          </cell>
          <cell r="G527" t="str">
            <v xml:space="preserve">yes, cauline with cauline morphology </v>
          </cell>
        </row>
        <row r="528">
          <cell r="B528">
            <v>2051858</v>
          </cell>
          <cell r="D528" t="str">
            <v>CHSC040702</v>
          </cell>
          <cell r="E528">
            <v>1982</v>
          </cell>
          <cell r="F528" t="str">
            <v>5 axillary buds</v>
          </cell>
          <cell r="G528" t="str">
            <v>yes, cauline w/ intermediate morphology</v>
          </cell>
        </row>
        <row r="529">
          <cell r="B529">
            <v>2049534</v>
          </cell>
          <cell r="D529" t="str">
            <v>CHSC038031</v>
          </cell>
          <cell r="E529">
            <v>1982</v>
          </cell>
          <cell r="F529" t="str">
            <v>4 axillary buds</v>
          </cell>
          <cell r="G529" t="str">
            <v>yes, basal</v>
          </cell>
        </row>
        <row r="530">
          <cell r="B530" t="str">
            <v>NA</v>
          </cell>
          <cell r="D530" t="str">
            <v>CHSC03835</v>
          </cell>
          <cell r="E530">
            <v>1982</v>
          </cell>
          <cell r="F530" t="str">
            <v>3 axiallary buds</v>
          </cell>
          <cell r="G530" t="str">
            <v>yes, basal</v>
          </cell>
        </row>
        <row r="531">
          <cell r="B531">
            <v>2049904</v>
          </cell>
          <cell r="D531" t="str">
            <v>CHSC038424</v>
          </cell>
          <cell r="E531">
            <v>1982</v>
          </cell>
          <cell r="F531" t="str">
            <v>4 axiallary buds</v>
          </cell>
          <cell r="G531" t="str">
            <v>yes, basal</v>
          </cell>
        </row>
        <row r="532">
          <cell r="B532">
            <v>2049536</v>
          </cell>
          <cell r="D532" t="str">
            <v>CHSC038033</v>
          </cell>
          <cell r="E532">
            <v>1982</v>
          </cell>
          <cell r="F532" t="str">
            <v>3 axiallary buds</v>
          </cell>
          <cell r="G532" t="str">
            <v>yes, basal</v>
          </cell>
        </row>
        <row r="533">
          <cell r="B533">
            <v>202494</v>
          </cell>
          <cell r="D533" t="str">
            <v>OBI101775</v>
          </cell>
          <cell r="E533">
            <v>1982</v>
          </cell>
          <cell r="F533" t="str">
            <v>buds w extra</v>
          </cell>
          <cell r="G533" t="str">
            <v>yes, cauline with basal morphology</v>
          </cell>
        </row>
        <row r="534">
          <cell r="B534">
            <v>6008224</v>
          </cell>
          <cell r="D534" t="str">
            <v>OBI204065</v>
          </cell>
          <cell r="E534">
            <v>1982</v>
          </cell>
          <cell r="F534" t="str">
            <v>buds w extra</v>
          </cell>
          <cell r="G534" t="str">
            <v>yes, cauline, not basal morphology</v>
          </cell>
        </row>
        <row r="535">
          <cell r="B535">
            <v>6008220</v>
          </cell>
          <cell r="D535" t="str">
            <v>OBI204067</v>
          </cell>
          <cell r="E535">
            <v>1982</v>
          </cell>
          <cell r="F535" t="str">
            <v>buds w extra</v>
          </cell>
          <cell r="G535" t="str">
            <v>yes, cauline with basal morphology</v>
          </cell>
        </row>
        <row r="536">
          <cell r="B536">
            <v>2049555</v>
          </cell>
          <cell r="D536" t="str">
            <v>CHSC038052</v>
          </cell>
          <cell r="E536">
            <v>1983</v>
          </cell>
          <cell r="F536" t="str">
            <v>3 axillary bud, 1 little leaf</v>
          </cell>
          <cell r="G536" t="str">
            <v>yes, cauline w/ intermediate morphology</v>
          </cell>
        </row>
        <row r="537">
          <cell r="B537">
            <v>2049555</v>
          </cell>
          <cell r="D537" t="str">
            <v>CHSC038052</v>
          </cell>
          <cell r="E537">
            <v>1983</v>
          </cell>
          <cell r="F537" t="str">
            <v>6 axillary buds</v>
          </cell>
          <cell r="G537" t="str">
            <v>yes, cauline w/ intermediate morphology</v>
          </cell>
        </row>
        <row r="538">
          <cell r="B538" t="str">
            <v>NA</v>
          </cell>
          <cell r="D538" t="str">
            <v>CHSC03848</v>
          </cell>
          <cell r="E538">
            <v>1983</v>
          </cell>
          <cell r="F538" t="str">
            <v>3 axiallary buds</v>
          </cell>
          <cell r="G538" t="str">
            <v>yes, cauline with basal morphology</v>
          </cell>
        </row>
        <row r="539">
          <cell r="B539">
            <v>304538</v>
          </cell>
          <cell r="D539" t="str">
            <v>UCSB031993</v>
          </cell>
          <cell r="E539">
            <v>1983</v>
          </cell>
          <cell r="F539" t="str">
            <v>buds NO extra</v>
          </cell>
          <cell r="G539" t="str">
            <v>yes, basal</v>
          </cell>
        </row>
        <row r="540">
          <cell r="B540">
            <v>4064454</v>
          </cell>
          <cell r="D540" t="str">
            <v>UCSC100000696</v>
          </cell>
          <cell r="E540">
            <v>1983</v>
          </cell>
          <cell r="F540" t="str">
            <v>bud clusters</v>
          </cell>
          <cell r="G540" t="str">
            <v>yes, cauline with basal morphology</v>
          </cell>
        </row>
        <row r="541">
          <cell r="B541">
            <v>469013</v>
          </cell>
          <cell r="D541" t="str">
            <v>SD00062665</v>
          </cell>
          <cell r="E541">
            <v>1984</v>
          </cell>
          <cell r="F541" t="str">
            <v>4 axiallary buds</v>
          </cell>
          <cell r="G541" t="str">
            <v>yes, cauline w/ intermediate morphology</v>
          </cell>
        </row>
        <row r="542">
          <cell r="B542">
            <v>5043016</v>
          </cell>
          <cell r="D542">
            <v>656433</v>
          </cell>
          <cell r="E542">
            <v>1984</v>
          </cell>
          <cell r="F542" t="str">
            <v>3 axillary buds</v>
          </cell>
          <cell r="G542" t="str">
            <v>yes, cauline with intermediate morphology</v>
          </cell>
        </row>
        <row r="543">
          <cell r="B543">
            <v>3792194</v>
          </cell>
          <cell r="D543" t="str">
            <v>FSC0010479</v>
          </cell>
          <cell r="E543">
            <v>1984</v>
          </cell>
          <cell r="F543" t="str">
            <v>4 bud clusters</v>
          </cell>
          <cell r="G543" t="str">
            <v>yes, cauline, intermediate morphology</v>
          </cell>
        </row>
        <row r="544">
          <cell r="B544">
            <v>202459</v>
          </cell>
          <cell r="D544" t="str">
            <v>OBI101774</v>
          </cell>
          <cell r="E544">
            <v>1984</v>
          </cell>
          <cell r="F544" t="str">
            <v>buds w extra</v>
          </cell>
          <cell r="G544" t="str">
            <v>yes, cauline with basal morphology</v>
          </cell>
        </row>
        <row r="545">
          <cell r="B545">
            <v>2369553</v>
          </cell>
          <cell r="D545">
            <v>74236</v>
          </cell>
          <cell r="E545">
            <v>1985</v>
          </cell>
          <cell r="F545" t="str">
            <v xml:space="preserve">3 axillary buds, 1 little leaf </v>
          </cell>
          <cell r="G545" t="str">
            <v xml:space="preserve">yes, cauline with basal morphology </v>
          </cell>
        </row>
        <row r="546">
          <cell r="B546">
            <v>2057404</v>
          </cell>
          <cell r="D546" t="str">
            <v>CHSC047040</v>
          </cell>
          <cell r="E546">
            <v>1985</v>
          </cell>
          <cell r="F546" t="str">
            <v>2 big bud clusters</v>
          </cell>
          <cell r="G546" t="str">
            <v>yes, cauline with basal morphology</v>
          </cell>
        </row>
        <row r="547">
          <cell r="B547">
            <v>469018</v>
          </cell>
          <cell r="D547" t="str">
            <v>SD00062710</v>
          </cell>
          <cell r="E547">
            <v>1986</v>
          </cell>
          <cell r="F547" t="str">
            <v>6 axillary buds</v>
          </cell>
          <cell r="G547" t="str">
            <v>yes, basal</v>
          </cell>
        </row>
        <row r="548">
          <cell r="B548">
            <v>1459129</v>
          </cell>
          <cell r="D548" t="str">
            <v>UCR0083371</v>
          </cell>
          <cell r="E548">
            <v>1986</v>
          </cell>
          <cell r="F548" t="str">
            <v>3 axiallary buds, 2 little leaves</v>
          </cell>
          <cell r="G548" t="str">
            <v>yes, cauline w/ intermediate morphology</v>
          </cell>
        </row>
        <row r="549">
          <cell r="B549">
            <v>1459130</v>
          </cell>
          <cell r="D549" t="str">
            <v>UCR0083335</v>
          </cell>
          <cell r="E549">
            <v>1986</v>
          </cell>
          <cell r="F549" t="str">
            <v>4 bud clusters</v>
          </cell>
          <cell r="G549" t="str">
            <v>yes, cauline with basal morphology</v>
          </cell>
        </row>
        <row r="550">
          <cell r="B550">
            <v>2318818</v>
          </cell>
          <cell r="D550">
            <v>74200</v>
          </cell>
          <cell r="E550">
            <v>1986</v>
          </cell>
          <cell r="F550" t="str">
            <v>4 axillary buds</v>
          </cell>
          <cell r="G550" t="str">
            <v>yes, basal</v>
          </cell>
        </row>
        <row r="551">
          <cell r="B551">
            <v>202484</v>
          </cell>
          <cell r="D551" t="str">
            <v>OBI101783</v>
          </cell>
          <cell r="E551">
            <v>1986</v>
          </cell>
          <cell r="F551" t="str">
            <v>buds w extra</v>
          </cell>
          <cell r="G551" t="str">
            <v>yes, cauline with basal morphology</v>
          </cell>
        </row>
        <row r="552">
          <cell r="B552">
            <v>469015</v>
          </cell>
          <cell r="D552" t="str">
            <v>SD00060084</v>
          </cell>
          <cell r="E552">
            <v>1986</v>
          </cell>
          <cell r="F552" t="str">
            <v>few bud clusters</v>
          </cell>
          <cell r="G552" t="str">
            <v>yes, cauline</v>
          </cell>
        </row>
        <row r="553">
          <cell r="B553">
            <v>4745854</v>
          </cell>
          <cell r="D553">
            <v>77908</v>
          </cell>
          <cell r="E553">
            <v>1987</v>
          </cell>
          <cell r="F553" t="str">
            <v>3 axillary bud, 1 terminal</v>
          </cell>
          <cell r="G553" t="str">
            <v>yes, cauline with basal morphology</v>
          </cell>
        </row>
        <row r="554">
          <cell r="B554">
            <v>1459126</v>
          </cell>
          <cell r="D554" t="str">
            <v>UCR0083392</v>
          </cell>
          <cell r="E554">
            <v>1987</v>
          </cell>
          <cell r="F554" t="str">
            <v>2 axiallary buds, 1 terminal bud cluster</v>
          </cell>
          <cell r="G554" t="str">
            <v xml:space="preserve">yes, basal </v>
          </cell>
        </row>
        <row r="555">
          <cell r="B555">
            <v>2079339</v>
          </cell>
          <cell r="D555" t="str">
            <v>CHSC075075</v>
          </cell>
          <cell r="E555">
            <v>1987</v>
          </cell>
          <cell r="F555" t="str">
            <v>3 axillary bud, 1 little leaf</v>
          </cell>
          <cell r="G555" t="str">
            <v>yes, cauline w/ intermediate morphology</v>
          </cell>
        </row>
        <row r="556">
          <cell r="B556">
            <v>2107639</v>
          </cell>
          <cell r="D556" t="str">
            <v>CHSC091408</v>
          </cell>
          <cell r="E556">
            <v>1987</v>
          </cell>
          <cell r="F556" t="str">
            <v>3 axillary bud, 1 little leaf</v>
          </cell>
          <cell r="G556" t="str">
            <v>yes, cauline with basal morphology</v>
          </cell>
        </row>
        <row r="557">
          <cell r="B557">
            <v>2107639</v>
          </cell>
          <cell r="D557" t="str">
            <v>CHSC091408</v>
          </cell>
          <cell r="E557">
            <v>1987</v>
          </cell>
          <cell r="F557" t="str">
            <v>NA _DOUBLE COLLECTED</v>
          </cell>
          <cell r="G557" t="str">
            <v>yes, cauline with basal morphology</v>
          </cell>
        </row>
        <row r="558">
          <cell r="B558" t="str">
            <v>NA</v>
          </cell>
          <cell r="D558" t="str">
            <v>UCSB050289</v>
          </cell>
          <cell r="E558">
            <v>1987</v>
          </cell>
          <cell r="F558" t="str">
            <v>buds w extra</v>
          </cell>
          <cell r="G558" t="str">
            <v>yes, cauline with basal morphology</v>
          </cell>
        </row>
        <row r="559">
          <cell r="B559">
            <v>33390</v>
          </cell>
          <cell r="D559" t="str">
            <v>SBBG213840</v>
          </cell>
          <cell r="E559">
            <v>1988</v>
          </cell>
          <cell r="F559" t="str">
            <v>5 axillary buds</v>
          </cell>
          <cell r="G559" t="str">
            <v>yes, cauline w/ intermediate morphology</v>
          </cell>
        </row>
        <row r="560">
          <cell r="B560">
            <v>1459128</v>
          </cell>
          <cell r="D560" t="str">
            <v>UCR0083336</v>
          </cell>
          <cell r="E560">
            <v>1988</v>
          </cell>
          <cell r="F560" t="str">
            <v>4 axiallary buds</v>
          </cell>
          <cell r="G560" t="str">
            <v xml:space="preserve">yes, cauline with cauline morphology </v>
          </cell>
        </row>
        <row r="561">
          <cell r="B561">
            <v>2405194</v>
          </cell>
          <cell r="D561">
            <v>74188</v>
          </cell>
          <cell r="E561">
            <v>1988</v>
          </cell>
          <cell r="F561" t="str">
            <v>2 axillary buds, 2 terminal bud clusters</v>
          </cell>
          <cell r="G561" t="str">
            <v>no</v>
          </cell>
        </row>
        <row r="562">
          <cell r="B562">
            <v>202475</v>
          </cell>
          <cell r="D562" t="str">
            <v>OBI101744</v>
          </cell>
          <cell r="E562">
            <v>1988</v>
          </cell>
          <cell r="F562" t="str">
            <v>buds w extra</v>
          </cell>
          <cell r="G562" t="str">
            <v>yes, cauline, not basal morphology</v>
          </cell>
        </row>
        <row r="563">
          <cell r="B563">
            <v>304562</v>
          </cell>
          <cell r="D563" t="str">
            <v>UCSB032017</v>
          </cell>
          <cell r="E563">
            <v>1988</v>
          </cell>
          <cell r="F563" t="str">
            <v>buds w extra</v>
          </cell>
          <cell r="G563" t="str">
            <v>yes, cauline with basal morphology</v>
          </cell>
        </row>
        <row r="564">
          <cell r="B564">
            <v>304590</v>
          </cell>
          <cell r="D564" t="str">
            <v>UCSB032041</v>
          </cell>
          <cell r="E564">
            <v>1988</v>
          </cell>
          <cell r="F564" t="str">
            <v>buds w extra</v>
          </cell>
          <cell r="G564" t="str">
            <v>yes, cauline with basal morphology</v>
          </cell>
        </row>
        <row r="565">
          <cell r="B565">
            <v>4947933</v>
          </cell>
          <cell r="D565" t="str">
            <v>US 3492194</v>
          </cell>
          <cell r="E565">
            <v>1989</v>
          </cell>
        </row>
        <row r="566">
          <cell r="B566">
            <v>469036</v>
          </cell>
          <cell r="D566" t="str">
            <v>SD00062659</v>
          </cell>
          <cell r="E566">
            <v>1990</v>
          </cell>
          <cell r="F566" t="str">
            <v>3 axiallary buds</v>
          </cell>
          <cell r="G566" t="str">
            <v>yes, cauline w/ intermediate morphology</v>
          </cell>
        </row>
        <row r="567">
          <cell r="B567">
            <v>2355610</v>
          </cell>
          <cell r="D567">
            <v>74204</v>
          </cell>
          <cell r="E567">
            <v>1990</v>
          </cell>
          <cell r="F567" t="str">
            <v>2 axillary buds, 1 terminal bud cluster</v>
          </cell>
          <cell r="G567" t="str">
            <v>yes, cauline with basal morphology</v>
          </cell>
        </row>
        <row r="568">
          <cell r="B568">
            <v>469072</v>
          </cell>
          <cell r="D568" t="str">
            <v>SD00062796</v>
          </cell>
          <cell r="E568">
            <v>1990</v>
          </cell>
          <cell r="F568" t="str">
            <v>2 axiallary buds, small leaf</v>
          </cell>
          <cell r="G568" t="str">
            <v>yes, cauline</v>
          </cell>
        </row>
        <row r="569">
          <cell r="B569">
            <v>3503027</v>
          </cell>
          <cell r="D569" t="str">
            <v>UC1584034</v>
          </cell>
          <cell r="E569">
            <v>1991</v>
          </cell>
          <cell r="F569" t="str">
            <v>3 axiallary buds</v>
          </cell>
          <cell r="G569" t="str">
            <v>yes, basal</v>
          </cell>
        </row>
        <row r="570">
          <cell r="B570">
            <v>3270997</v>
          </cell>
          <cell r="D570" t="str">
            <v>UC1595411</v>
          </cell>
          <cell r="E570">
            <v>1991</v>
          </cell>
          <cell r="F570" t="str">
            <v>3 terminal bud clusters</v>
          </cell>
          <cell r="G570" t="str">
            <v>yes, cauline</v>
          </cell>
        </row>
        <row r="571">
          <cell r="B571">
            <v>1367989</v>
          </cell>
          <cell r="D571" t="str">
            <v>DAV310445</v>
          </cell>
          <cell r="E571">
            <v>1992</v>
          </cell>
          <cell r="F571" t="str">
            <v>4 axiallary buds</v>
          </cell>
          <cell r="G571" t="str">
            <v>yes, basal</v>
          </cell>
        </row>
        <row r="572">
          <cell r="B572">
            <v>1320906</v>
          </cell>
          <cell r="D572" t="str">
            <v>DAV310438</v>
          </cell>
          <cell r="E572">
            <v>1992</v>
          </cell>
          <cell r="F572" t="str">
            <v>4 axiallary buds, 1 lil leaf</v>
          </cell>
          <cell r="G572" t="str">
            <v>yes, cauline w/ intermediate morphology</v>
          </cell>
        </row>
        <row r="573">
          <cell r="B573">
            <v>1367983</v>
          </cell>
          <cell r="D573" t="str">
            <v>DAV310435</v>
          </cell>
          <cell r="E573">
            <v>1992</v>
          </cell>
          <cell r="F573" t="str">
            <v>3 axiallary bud, 1 terminal bud cluster</v>
          </cell>
          <cell r="G573" t="str">
            <v>no</v>
          </cell>
        </row>
        <row r="574">
          <cell r="B574">
            <v>1617536</v>
          </cell>
          <cell r="D574" t="str">
            <v>UCR0083309</v>
          </cell>
          <cell r="E574">
            <v>1992</v>
          </cell>
          <cell r="F574" t="str">
            <v>3 axiallary bud, 1 little leaf</v>
          </cell>
          <cell r="G574" t="str">
            <v xml:space="preserve">yes, basal </v>
          </cell>
        </row>
        <row r="575">
          <cell r="B575">
            <v>2767898</v>
          </cell>
          <cell r="D575">
            <v>539372</v>
          </cell>
          <cell r="E575">
            <v>1992</v>
          </cell>
          <cell r="F575" t="str">
            <v>1 terminal bud cluster, 2 axillary buds</v>
          </cell>
          <cell r="G575" t="str">
            <v>yes, cauline with basal morphology</v>
          </cell>
        </row>
        <row r="576">
          <cell r="B576">
            <v>2387538</v>
          </cell>
          <cell r="D576">
            <v>58407</v>
          </cell>
          <cell r="E576">
            <v>1992</v>
          </cell>
          <cell r="F576" t="str">
            <v>3 axillary buds</v>
          </cell>
          <cell r="G576" t="str">
            <v>yes, basal</v>
          </cell>
        </row>
        <row r="577">
          <cell r="B577">
            <v>132624</v>
          </cell>
          <cell r="D577" t="str">
            <v>SBBG213843</v>
          </cell>
          <cell r="E577">
            <v>1993</v>
          </cell>
          <cell r="F577" t="str">
            <v>2 big axillary buds an little leaves</v>
          </cell>
          <cell r="G577" t="str">
            <v>yes, basal</v>
          </cell>
        </row>
        <row r="578">
          <cell r="B578">
            <v>4743360</v>
          </cell>
          <cell r="D578">
            <v>75601</v>
          </cell>
          <cell r="E578">
            <v>1993</v>
          </cell>
          <cell r="F578" t="str">
            <v>4 axiallary buds</v>
          </cell>
          <cell r="G578" t="str">
            <v>yes, basal</v>
          </cell>
        </row>
        <row r="579">
          <cell r="B579">
            <v>1493728</v>
          </cell>
          <cell r="D579" t="str">
            <v>UCR0111504</v>
          </cell>
          <cell r="E579">
            <v>1993</v>
          </cell>
          <cell r="F579" t="str">
            <v>4 axiallary buds</v>
          </cell>
          <cell r="G579" t="str">
            <v xml:space="preserve">yes, cauline with cauline morphology </v>
          </cell>
        </row>
        <row r="580">
          <cell r="B580">
            <v>2305663</v>
          </cell>
          <cell r="D580">
            <v>74324</v>
          </cell>
          <cell r="E580">
            <v>1993</v>
          </cell>
          <cell r="F580" t="str">
            <v>3 axiallary buds</v>
          </cell>
          <cell r="G580" t="str">
            <v>yes, cauline with intermediate morphology</v>
          </cell>
        </row>
        <row r="581">
          <cell r="B581">
            <v>469019</v>
          </cell>
          <cell r="D581" t="str">
            <v>SD00060083</v>
          </cell>
          <cell r="E581">
            <v>1993</v>
          </cell>
          <cell r="F581" t="str">
            <v>clusters and big bud</v>
          </cell>
          <cell r="G581" t="str">
            <v>yes, cauline</v>
          </cell>
        </row>
        <row r="582">
          <cell r="B582">
            <v>304564</v>
          </cell>
          <cell r="D582" t="str">
            <v>UCSB032019</v>
          </cell>
          <cell r="E582">
            <v>1993</v>
          </cell>
          <cell r="F582" t="str">
            <v>buds w extra</v>
          </cell>
          <cell r="G582" t="str">
            <v>yes, cauline, not basal morphology</v>
          </cell>
        </row>
        <row r="583">
          <cell r="B583">
            <v>232773</v>
          </cell>
          <cell r="D583" t="str">
            <v>UCSC100000691</v>
          </cell>
          <cell r="E583">
            <v>1993</v>
          </cell>
          <cell r="F583" t="str">
            <v>axillary bud clusters +</v>
          </cell>
          <cell r="G583" t="str">
            <v>yes, cauline, not basal morphology</v>
          </cell>
        </row>
        <row r="584">
          <cell r="B584">
            <v>1537502</v>
          </cell>
          <cell r="D584" t="str">
            <v>UCR0083394</v>
          </cell>
          <cell r="E584">
            <v>1994</v>
          </cell>
          <cell r="F584" t="str">
            <v>3 axillary bud, 1 terminal</v>
          </cell>
          <cell r="G584" t="str">
            <v>yes, cauline with basal morphology</v>
          </cell>
        </row>
        <row r="585">
          <cell r="B585">
            <v>231694</v>
          </cell>
          <cell r="D585" t="str">
            <v>UCSC100000694</v>
          </cell>
          <cell r="E585">
            <v>1994</v>
          </cell>
          <cell r="F585" t="str">
            <v>axillary bud clusters +</v>
          </cell>
          <cell r="G585" t="str">
            <v>yes, basal</v>
          </cell>
        </row>
        <row r="586">
          <cell r="B586">
            <v>231693</v>
          </cell>
          <cell r="D586" t="str">
            <v>UCSC100000695</v>
          </cell>
          <cell r="E586">
            <v>1994</v>
          </cell>
          <cell r="F586" t="str">
            <v>axillary bud clusters +</v>
          </cell>
          <cell r="G586" t="str">
            <v>yes, cauline with basal morphology</v>
          </cell>
        </row>
        <row r="587">
          <cell r="B587">
            <v>1333957</v>
          </cell>
          <cell r="D587" t="str">
            <v>DAV300674</v>
          </cell>
          <cell r="E587">
            <v>1995</v>
          </cell>
          <cell r="F587" t="str">
            <v>5 axillary buds, 1 little leaf</v>
          </cell>
          <cell r="G587" t="str">
            <v>yes, basal</v>
          </cell>
        </row>
        <row r="588">
          <cell r="B588" t="str">
            <v>NA</v>
          </cell>
          <cell r="D588" t="str">
            <v>DAV127852</v>
          </cell>
          <cell r="E588">
            <v>1995</v>
          </cell>
          <cell r="F588" t="str">
            <v>4 axiallary buds</v>
          </cell>
          <cell r="G588" t="str">
            <v>yes, basal</v>
          </cell>
        </row>
        <row r="589">
          <cell r="B589">
            <v>2070005</v>
          </cell>
          <cell r="D589" t="str">
            <v>CHSC064605</v>
          </cell>
          <cell r="E589">
            <v>1995</v>
          </cell>
          <cell r="F589" t="str">
            <v>3 axiallary buds</v>
          </cell>
          <cell r="G589" t="str">
            <v>yes, cauline w/ intermediate morphology</v>
          </cell>
        </row>
        <row r="590">
          <cell r="B590">
            <v>1474364</v>
          </cell>
          <cell r="D590" t="str">
            <v>UCR0083375</v>
          </cell>
          <cell r="E590">
            <v>1996</v>
          </cell>
          <cell r="F590" t="str">
            <v>4 axiallary buds</v>
          </cell>
          <cell r="G590" t="str">
            <v>yes, cauline w/ intermediate morphology</v>
          </cell>
        </row>
        <row r="591">
          <cell r="B591">
            <v>1467990</v>
          </cell>
          <cell r="D591" t="str">
            <v>UCR0083342</v>
          </cell>
          <cell r="E591">
            <v>1996</v>
          </cell>
          <cell r="F591" t="str">
            <v>3 axiallary bud, 1 little leaf</v>
          </cell>
          <cell r="G591" t="str">
            <v>yes, basal</v>
          </cell>
        </row>
        <row r="592">
          <cell r="B592">
            <v>2137472</v>
          </cell>
          <cell r="D592" t="str">
            <v>CHSC119251</v>
          </cell>
          <cell r="E592">
            <v>1996</v>
          </cell>
          <cell r="F592" t="str">
            <v>5 apical bud clusters</v>
          </cell>
          <cell r="G592" t="str">
            <v>no</v>
          </cell>
        </row>
        <row r="593">
          <cell r="B593">
            <v>2137472</v>
          </cell>
          <cell r="D593" t="str">
            <v>CHSC119251</v>
          </cell>
          <cell r="E593">
            <v>1996</v>
          </cell>
          <cell r="F593" t="str">
            <v>3 apical bud clusters, 1 axillary bud</v>
          </cell>
          <cell r="G593" t="str">
            <v>no</v>
          </cell>
        </row>
        <row r="594">
          <cell r="B594">
            <v>2071112</v>
          </cell>
          <cell r="D594" t="str">
            <v>CHSC065917</v>
          </cell>
          <cell r="E594">
            <v>1996</v>
          </cell>
          <cell r="F594" t="str">
            <v>3 axiallary buds</v>
          </cell>
          <cell r="G594" t="str">
            <v>yes, cauline w/ intermediate morphology</v>
          </cell>
        </row>
        <row r="595">
          <cell r="B595">
            <v>2071627</v>
          </cell>
          <cell r="D595" t="str">
            <v>CHSC066479</v>
          </cell>
          <cell r="E595">
            <v>1996</v>
          </cell>
          <cell r="F595" t="str">
            <v>2 axiallary bud, 1 little leaf</v>
          </cell>
          <cell r="G595" t="str">
            <v>yes, basal</v>
          </cell>
        </row>
        <row r="596">
          <cell r="B596">
            <v>3278418</v>
          </cell>
          <cell r="D596" t="str">
            <v>JEPS88506</v>
          </cell>
          <cell r="E596">
            <v>1996</v>
          </cell>
          <cell r="F596" t="str">
            <v>4 bud clusters</v>
          </cell>
          <cell r="G596" t="str">
            <v>yes, basal</v>
          </cell>
        </row>
        <row r="597">
          <cell r="B597">
            <v>3776588</v>
          </cell>
          <cell r="D597" t="str">
            <v>DAV328011</v>
          </cell>
          <cell r="E597">
            <v>1997</v>
          </cell>
          <cell r="F597" t="str">
            <v>3 axiallary bud, 1 little leaf</v>
          </cell>
          <cell r="G597" t="str">
            <v>yes, cauline with basal morphology</v>
          </cell>
        </row>
        <row r="598">
          <cell r="B598">
            <v>1339126</v>
          </cell>
          <cell r="D598" t="str">
            <v>DAV310439</v>
          </cell>
          <cell r="E598">
            <v>1997</v>
          </cell>
          <cell r="F598" t="str">
            <v>4 axiallary buds</v>
          </cell>
          <cell r="G598" t="str">
            <v>yes, cauline w/ intermediate morphology</v>
          </cell>
        </row>
        <row r="599">
          <cell r="B599">
            <v>1474360</v>
          </cell>
          <cell r="D599" t="str">
            <v>UCR0083338</v>
          </cell>
          <cell r="E599">
            <v>1997</v>
          </cell>
          <cell r="F599" t="str">
            <v>3 axiallary buds</v>
          </cell>
          <cell r="G599" t="str">
            <v>yes, basal</v>
          </cell>
        </row>
        <row r="600">
          <cell r="B600">
            <v>1474357</v>
          </cell>
          <cell r="D600" t="str">
            <v>UCR0083314</v>
          </cell>
          <cell r="E600">
            <v>1997</v>
          </cell>
          <cell r="F600" t="str">
            <v>3 terminal bud clusters</v>
          </cell>
          <cell r="G600" t="str">
            <v>yes, cauline with basal morphology</v>
          </cell>
        </row>
        <row r="601">
          <cell r="B601">
            <v>2085275</v>
          </cell>
          <cell r="D601" t="str">
            <v>CHSC081237</v>
          </cell>
          <cell r="E601">
            <v>1997</v>
          </cell>
          <cell r="F601" t="str">
            <v>3 axiallary buds</v>
          </cell>
          <cell r="G601" t="str">
            <v>yes, cauline with basal morphology</v>
          </cell>
        </row>
        <row r="602">
          <cell r="B602">
            <v>3324477</v>
          </cell>
          <cell r="D602" t="str">
            <v>UC2027737</v>
          </cell>
          <cell r="E602">
            <v>1997</v>
          </cell>
          <cell r="F602" t="str">
            <v>4 bud clusters, little leaf</v>
          </cell>
          <cell r="G602" t="str">
            <v>yes, cauline with basal morphology</v>
          </cell>
        </row>
        <row r="603">
          <cell r="B603">
            <v>3373130</v>
          </cell>
          <cell r="D603" t="str">
            <v>JEPS126116</v>
          </cell>
          <cell r="E603">
            <v>1998</v>
          </cell>
          <cell r="F603" t="str">
            <v>4 axiallary buds, little leaf</v>
          </cell>
          <cell r="G603" t="str">
            <v>yes, basal</v>
          </cell>
        </row>
        <row r="604">
          <cell r="B604">
            <v>3544281</v>
          </cell>
          <cell r="D604" t="str">
            <v>UC2028176</v>
          </cell>
          <cell r="E604">
            <v>1998</v>
          </cell>
          <cell r="F604" t="str">
            <v>2 axiallary bud clusters, 1 apical bud cluster</v>
          </cell>
          <cell r="G604" t="str">
            <v>yes, basal</v>
          </cell>
        </row>
        <row r="605">
          <cell r="B605">
            <v>3483502</v>
          </cell>
          <cell r="D605" t="str">
            <v>UC2028212</v>
          </cell>
          <cell r="E605">
            <v>1998</v>
          </cell>
          <cell r="F605" t="str">
            <v>2 apical bud clusters, loose buds</v>
          </cell>
          <cell r="G605" t="str">
            <v>yes, cauline</v>
          </cell>
        </row>
        <row r="606">
          <cell r="B606">
            <v>3275642</v>
          </cell>
          <cell r="D606" t="str">
            <v>UC2028045</v>
          </cell>
          <cell r="E606">
            <v>1998</v>
          </cell>
          <cell r="F606" t="str">
            <v>2 axiallary bud clusters</v>
          </cell>
          <cell r="G606" t="str">
            <v>yes, basal</v>
          </cell>
        </row>
        <row r="607">
          <cell r="B607">
            <v>3544438</v>
          </cell>
          <cell r="D607" t="str">
            <v>UC2028317</v>
          </cell>
          <cell r="E607">
            <v>1998</v>
          </cell>
          <cell r="F607" t="str">
            <v>2 apical bud clusters</v>
          </cell>
          <cell r="G607" t="str">
            <v>yes, cauline, intermediate morphology</v>
          </cell>
        </row>
        <row r="608">
          <cell r="B608">
            <v>3239401</v>
          </cell>
          <cell r="D608" t="str">
            <v>UC2028282</v>
          </cell>
          <cell r="E608">
            <v>1998</v>
          </cell>
          <cell r="F608" t="str">
            <v>3 bud clusters</v>
          </cell>
          <cell r="G608" t="str">
            <v xml:space="preserve">yes, cauline </v>
          </cell>
        </row>
        <row r="609">
          <cell r="B609">
            <v>1300530</v>
          </cell>
          <cell r="D609" t="str">
            <v>DAV310440</v>
          </cell>
          <cell r="E609">
            <v>2000</v>
          </cell>
          <cell r="F609" t="str">
            <v>2 axiallary bud2, 1 terminal bud cluster</v>
          </cell>
          <cell r="G609" t="str">
            <v>yes, cauline with basal morphology</v>
          </cell>
        </row>
        <row r="610">
          <cell r="B610">
            <v>1367985</v>
          </cell>
          <cell r="D610" t="str">
            <v>DAV300676</v>
          </cell>
          <cell r="E610">
            <v>2000</v>
          </cell>
          <cell r="F610" t="str">
            <v>4 axiallary buds</v>
          </cell>
          <cell r="G610" t="str">
            <v>yes, cauline w/ intermediate morphology</v>
          </cell>
        </row>
        <row r="611">
          <cell r="B611">
            <v>1327836</v>
          </cell>
          <cell r="D611" t="str">
            <v>DAV315352</v>
          </cell>
          <cell r="E611">
            <v>2000</v>
          </cell>
          <cell r="F611" t="str">
            <v>1 big axillary bud cluster</v>
          </cell>
          <cell r="G611" t="str">
            <v>no</v>
          </cell>
        </row>
        <row r="612">
          <cell r="B612">
            <v>1327836</v>
          </cell>
          <cell r="D612" t="str">
            <v>DAV315352</v>
          </cell>
          <cell r="E612">
            <v>2000</v>
          </cell>
        </row>
        <row r="613">
          <cell r="B613">
            <v>2085539</v>
          </cell>
          <cell r="D613" t="str">
            <v>CHSC081475</v>
          </cell>
          <cell r="E613">
            <v>2000</v>
          </cell>
          <cell r="F613" t="str">
            <v>3 axiallary buds</v>
          </cell>
          <cell r="G613" t="str">
            <v>yes, cauline with basal morphology</v>
          </cell>
        </row>
        <row r="614">
          <cell r="B614">
            <v>469025</v>
          </cell>
          <cell r="D614" t="str">
            <v>SD00062738</v>
          </cell>
          <cell r="E614">
            <v>2000</v>
          </cell>
          <cell r="F614" t="str">
            <v>several bud clusters and extra buds</v>
          </cell>
          <cell r="G614" t="str">
            <v>yes, cauline with basal morphology</v>
          </cell>
        </row>
        <row r="615">
          <cell r="B615">
            <v>469028</v>
          </cell>
          <cell r="D615" t="str">
            <v>SD00062768</v>
          </cell>
          <cell r="E615">
            <v>2000</v>
          </cell>
          <cell r="F615" t="str">
            <v>2 huge axillary buds</v>
          </cell>
          <cell r="G615" t="str">
            <v>yes, cauline w/ intermediate morphology</v>
          </cell>
        </row>
        <row r="616">
          <cell r="B616">
            <v>469027</v>
          </cell>
          <cell r="D616" t="str">
            <v>SD00062662</v>
          </cell>
          <cell r="E616">
            <v>2000</v>
          </cell>
          <cell r="F616" t="str">
            <v>2 axillary buds</v>
          </cell>
          <cell r="G616" t="str">
            <v>yes, basal</v>
          </cell>
        </row>
        <row r="617">
          <cell r="B617">
            <v>3753225</v>
          </cell>
          <cell r="D617" t="str">
            <v>SDSU15560</v>
          </cell>
          <cell r="E617">
            <v>2000</v>
          </cell>
          <cell r="F617" t="str">
            <v>few axillary buds</v>
          </cell>
          <cell r="G617" t="str">
            <v>yes, cauline with basal morphology</v>
          </cell>
        </row>
        <row r="618">
          <cell r="B618">
            <v>76355</v>
          </cell>
          <cell r="D618" t="str">
            <v>SBBG213818</v>
          </cell>
          <cell r="E618">
            <v>2001</v>
          </cell>
          <cell r="F618" t="str">
            <v>6 bud clusters, 2 little leaves</v>
          </cell>
          <cell r="G618" t="str">
            <v>yes, cauline with basal morphology</v>
          </cell>
        </row>
        <row r="619">
          <cell r="B619">
            <v>202449</v>
          </cell>
          <cell r="D619" t="str">
            <v>OBI101734</v>
          </cell>
          <cell r="E619">
            <v>2001</v>
          </cell>
          <cell r="F619" t="str">
            <v>buds w extra</v>
          </cell>
          <cell r="G619" t="str">
            <v>yes, basal</v>
          </cell>
        </row>
        <row r="620">
          <cell r="B620">
            <v>293450</v>
          </cell>
          <cell r="D620" t="str">
            <v>UCSB032040</v>
          </cell>
          <cell r="E620">
            <v>2001</v>
          </cell>
          <cell r="F620" t="str">
            <v>buds w extra</v>
          </cell>
          <cell r="G620" t="str">
            <v>yes, cauline with basal morphology</v>
          </cell>
        </row>
        <row r="621">
          <cell r="B621">
            <v>1337204</v>
          </cell>
          <cell r="D621" t="str">
            <v>DAV300671</v>
          </cell>
          <cell r="E621">
            <v>2002</v>
          </cell>
          <cell r="F621" t="str">
            <v>3 axiallary bud, 1 little leaf</v>
          </cell>
          <cell r="G621" t="str">
            <v>yes, cauline w/ intermediate morphology</v>
          </cell>
        </row>
        <row r="622">
          <cell r="B622">
            <v>330069</v>
          </cell>
          <cell r="D622" t="str">
            <v>UCSB040101</v>
          </cell>
          <cell r="E622">
            <v>2002</v>
          </cell>
          <cell r="F622" t="str">
            <v>buds w extra</v>
          </cell>
          <cell r="G622" t="str">
            <v>yes, cauline with basal morphology</v>
          </cell>
        </row>
        <row r="623">
          <cell r="B623">
            <v>469053</v>
          </cell>
          <cell r="D623" t="str">
            <v>SD00062753</v>
          </cell>
          <cell r="E623">
            <v>2003</v>
          </cell>
          <cell r="F623" t="str">
            <v>3 axiallary bud, 1 little leaf</v>
          </cell>
          <cell r="G623" t="str">
            <v xml:space="preserve">yes, cauline with cauline morphology </v>
          </cell>
        </row>
        <row r="624">
          <cell r="B624">
            <v>84330</v>
          </cell>
          <cell r="D624" t="str">
            <v>SBBG213817</v>
          </cell>
          <cell r="E624">
            <v>2003</v>
          </cell>
          <cell r="F624" t="str">
            <v>5 bud clusters</v>
          </cell>
          <cell r="G624" t="str">
            <v>yes, cauline w/ intermediate morphology</v>
          </cell>
        </row>
        <row r="625">
          <cell r="B625">
            <v>1548194</v>
          </cell>
          <cell r="D625" t="str">
            <v>UCR0083344</v>
          </cell>
          <cell r="E625">
            <v>2003</v>
          </cell>
          <cell r="F625" t="str">
            <v>3 axiallary buds</v>
          </cell>
          <cell r="G625" t="str">
            <v>yes, basal</v>
          </cell>
        </row>
        <row r="626">
          <cell r="B626">
            <v>1566244</v>
          </cell>
          <cell r="D626" t="str">
            <v>UCR0083370</v>
          </cell>
          <cell r="E626">
            <v>2003</v>
          </cell>
          <cell r="F626" t="str">
            <v>4 axiallary buds</v>
          </cell>
          <cell r="G626" t="str">
            <v>yes, cauline w/ intermediate morphology</v>
          </cell>
        </row>
        <row r="627">
          <cell r="B627">
            <v>1635838</v>
          </cell>
          <cell r="D627" t="str">
            <v>UCR0083340</v>
          </cell>
          <cell r="E627">
            <v>2003</v>
          </cell>
          <cell r="F627" t="str">
            <v>4 axiallary buds, few lil leaves</v>
          </cell>
          <cell r="G627" t="str">
            <v>yes, cauline w/ intermediate morphology</v>
          </cell>
        </row>
        <row r="628">
          <cell r="B628">
            <v>1547140</v>
          </cell>
          <cell r="D628" t="str">
            <v>UCR0083373</v>
          </cell>
          <cell r="E628">
            <v>2003</v>
          </cell>
          <cell r="F628" t="str">
            <v>3 axiallary buds</v>
          </cell>
          <cell r="G628" t="str">
            <v>yes, cauline w/ intermediate morphology</v>
          </cell>
        </row>
        <row r="629">
          <cell r="B629">
            <v>1302899</v>
          </cell>
          <cell r="D629" t="str">
            <v>DAV300672</v>
          </cell>
          <cell r="E629">
            <v>2003</v>
          </cell>
          <cell r="F629" t="str">
            <v>3 axiallary buds</v>
          </cell>
          <cell r="G629" t="str">
            <v>yes, cauline</v>
          </cell>
        </row>
        <row r="630">
          <cell r="B630">
            <v>469038</v>
          </cell>
          <cell r="D630" t="str">
            <v>SD00062686</v>
          </cell>
          <cell r="E630">
            <v>2003</v>
          </cell>
          <cell r="F630" t="str">
            <v>few terminal bud clusters</v>
          </cell>
          <cell r="G630" t="str">
            <v>yes, cauline w/ intermediate morphology</v>
          </cell>
        </row>
        <row r="631">
          <cell r="B631">
            <v>469031</v>
          </cell>
          <cell r="D631" t="str">
            <v>SD00062660</v>
          </cell>
          <cell r="E631">
            <v>2003</v>
          </cell>
          <cell r="F631" t="str">
            <v>several axiallary buds</v>
          </cell>
          <cell r="G631" t="str">
            <v>yes, cauline</v>
          </cell>
        </row>
        <row r="632">
          <cell r="B632">
            <v>389892</v>
          </cell>
          <cell r="D632" t="str">
            <v>SDSU15680</v>
          </cell>
          <cell r="E632">
            <v>2003</v>
          </cell>
          <cell r="F632" t="str">
            <v>few axillary buds</v>
          </cell>
          <cell r="G632" t="str">
            <v>yes, cauline with basal morphology</v>
          </cell>
        </row>
        <row r="633">
          <cell r="B633">
            <v>3475357</v>
          </cell>
          <cell r="D633" t="str">
            <v>JEPS100009</v>
          </cell>
          <cell r="E633">
            <v>2003</v>
          </cell>
          <cell r="F633" t="str">
            <v>3 bud clusters</v>
          </cell>
          <cell r="G633" t="str">
            <v>yes, cauline, intermediate morphology</v>
          </cell>
        </row>
        <row r="634">
          <cell r="B634">
            <v>469033</v>
          </cell>
          <cell r="D634" t="str">
            <v>SD00062766</v>
          </cell>
          <cell r="E634">
            <v>2004</v>
          </cell>
          <cell r="F634" t="str">
            <v>2 axillary bud, 2 terminal bud cluster</v>
          </cell>
          <cell r="G634" t="str">
            <v>yes, cauline w/ intermediate morphology</v>
          </cell>
        </row>
        <row r="635">
          <cell r="B635">
            <v>469040</v>
          </cell>
          <cell r="D635" t="str">
            <v>SD00062685</v>
          </cell>
          <cell r="E635">
            <v>2004</v>
          </cell>
          <cell r="F635" t="str">
            <v>3 axillary bud, 1 terminal</v>
          </cell>
          <cell r="G635" t="str">
            <v>yes, cauline w/ intermediate morphology</v>
          </cell>
        </row>
        <row r="636">
          <cell r="B636">
            <v>469069</v>
          </cell>
          <cell r="D636" t="str">
            <v>SD00062559</v>
          </cell>
          <cell r="E636">
            <v>2004</v>
          </cell>
          <cell r="F636" t="str">
            <v>2 axillary bud, 3 terminal bud cluster</v>
          </cell>
          <cell r="G636" t="str">
            <v>yes, basal</v>
          </cell>
        </row>
        <row r="637">
          <cell r="B637">
            <v>469055</v>
          </cell>
          <cell r="D637" t="str">
            <v>SD00062752</v>
          </cell>
          <cell r="E637">
            <v>2004</v>
          </cell>
          <cell r="F637" t="str">
            <v>6 axillary buds</v>
          </cell>
          <cell r="G637" t="str">
            <v>yes, cauline w/ intermediate morphology</v>
          </cell>
        </row>
        <row r="638">
          <cell r="B638">
            <v>1657455</v>
          </cell>
          <cell r="D638" t="str">
            <v>UCR0083305</v>
          </cell>
          <cell r="E638">
            <v>2004</v>
          </cell>
          <cell r="F638" t="str">
            <v>2 axiallary bud, 2 little leaf</v>
          </cell>
          <cell r="G638" t="str">
            <v>yes, cauline w/ intermediate morphology</v>
          </cell>
        </row>
        <row r="639">
          <cell r="B639">
            <v>1578856</v>
          </cell>
          <cell r="D639" t="str">
            <v>UCR0083366</v>
          </cell>
          <cell r="E639">
            <v>2004</v>
          </cell>
          <cell r="F639" t="str">
            <v>4 axiallary buds</v>
          </cell>
          <cell r="G639" t="str">
            <v>yes, cauline w/ intermediate morphology</v>
          </cell>
        </row>
        <row r="640">
          <cell r="B640">
            <v>1654990</v>
          </cell>
          <cell r="D640" t="str">
            <v>UCR0083358</v>
          </cell>
          <cell r="E640">
            <v>2004</v>
          </cell>
          <cell r="F640" t="str">
            <v>3 axiallary buds</v>
          </cell>
          <cell r="G640" t="str">
            <v>yes, basal</v>
          </cell>
        </row>
        <row r="641">
          <cell r="B641">
            <v>1560057</v>
          </cell>
          <cell r="D641" t="str">
            <v>UCR0083372</v>
          </cell>
          <cell r="E641">
            <v>2004</v>
          </cell>
          <cell r="F641" t="str">
            <v>3 axiallary bud, 1 little leaf</v>
          </cell>
          <cell r="G641" t="str">
            <v>yes, basal</v>
          </cell>
        </row>
        <row r="642">
          <cell r="B642">
            <v>202480</v>
          </cell>
          <cell r="D642" t="str">
            <v>OBI101761</v>
          </cell>
          <cell r="E642">
            <v>2004</v>
          </cell>
          <cell r="F642" t="str">
            <v>buds w extra</v>
          </cell>
          <cell r="G642" t="str">
            <v>yes, basal</v>
          </cell>
        </row>
        <row r="643">
          <cell r="B643">
            <v>469062</v>
          </cell>
          <cell r="D643" t="str">
            <v>SD00062590</v>
          </cell>
          <cell r="E643">
            <v>2004</v>
          </cell>
          <cell r="F643" t="str">
            <v>1 bud cluster</v>
          </cell>
          <cell r="G643" t="str">
            <v>yes, cauline</v>
          </cell>
        </row>
        <row r="644">
          <cell r="B644">
            <v>469058</v>
          </cell>
          <cell r="D644" t="str">
            <v>SD00062561</v>
          </cell>
          <cell r="E644">
            <v>2004</v>
          </cell>
          <cell r="F644" t="str">
            <v>several bud clusters</v>
          </cell>
          <cell r="G644" t="str">
            <v>yes, cauline with basal morphology</v>
          </cell>
        </row>
        <row r="645">
          <cell r="B645">
            <v>469059</v>
          </cell>
          <cell r="D645" t="str">
            <v>SD00062755</v>
          </cell>
          <cell r="E645">
            <v>2004</v>
          </cell>
          <cell r="F645" t="str">
            <v>several axillary buds</v>
          </cell>
          <cell r="G645" t="str">
            <v>yes, cauline w/ intermediate morphology</v>
          </cell>
        </row>
        <row r="646">
          <cell r="B646">
            <v>469078</v>
          </cell>
          <cell r="D646" t="str">
            <v>SD00062639</v>
          </cell>
          <cell r="E646">
            <v>2004</v>
          </cell>
          <cell r="F646" t="str">
            <v>axillary buds and small leaves</v>
          </cell>
          <cell r="G646" t="str">
            <v>yes, basal</v>
          </cell>
        </row>
        <row r="647">
          <cell r="B647">
            <v>3400832</v>
          </cell>
          <cell r="D647" t="str">
            <v>JEPS111867</v>
          </cell>
          <cell r="E647">
            <v>2004</v>
          </cell>
          <cell r="F647" t="str">
            <v>2 bud clusters, little leaf</v>
          </cell>
          <cell r="G647" t="str">
            <v>yes, basal</v>
          </cell>
        </row>
        <row r="648">
          <cell r="B648">
            <v>469095</v>
          </cell>
          <cell r="D648" t="str">
            <v>SD00062585</v>
          </cell>
          <cell r="E648">
            <v>2005</v>
          </cell>
          <cell r="F648" t="str">
            <v>4 axiallary buds</v>
          </cell>
          <cell r="G648" t="str">
            <v>yes, basal</v>
          </cell>
        </row>
        <row r="649">
          <cell r="B649">
            <v>469063</v>
          </cell>
          <cell r="D649" t="str">
            <v>SD00062589</v>
          </cell>
          <cell r="E649">
            <v>2005</v>
          </cell>
          <cell r="F649" t="str">
            <v>3 axiallary buds; one massive terminal bud cluster</v>
          </cell>
          <cell r="G649" t="str">
            <v>yes, cauline with basal morphology</v>
          </cell>
        </row>
        <row r="650">
          <cell r="B650">
            <v>469065</v>
          </cell>
          <cell r="D650" t="str">
            <v>SD00062735</v>
          </cell>
          <cell r="E650">
            <v>2005</v>
          </cell>
          <cell r="F650" t="str">
            <v>2 axillary buds, 1 terminal bud cluster</v>
          </cell>
          <cell r="G650" t="str">
            <v>yes, cauline w/ intermediate morphology</v>
          </cell>
        </row>
        <row r="651">
          <cell r="B651">
            <v>469061</v>
          </cell>
          <cell r="D651" t="str">
            <v>SD00062747</v>
          </cell>
          <cell r="E651">
            <v>2005</v>
          </cell>
          <cell r="F651" t="str">
            <v>3 axiallary buds</v>
          </cell>
          <cell r="G651" t="str">
            <v>yes, cauline w/ intermediate morphology</v>
          </cell>
        </row>
        <row r="652">
          <cell r="B652">
            <v>469046</v>
          </cell>
          <cell r="D652" t="str">
            <v>SD00062759</v>
          </cell>
          <cell r="E652">
            <v>2005</v>
          </cell>
          <cell r="F652" t="str">
            <v>4 axiallary buds</v>
          </cell>
          <cell r="G652" t="str">
            <v>no</v>
          </cell>
        </row>
        <row r="653">
          <cell r="B653">
            <v>469044</v>
          </cell>
          <cell r="D653" t="str">
            <v>SD00062760</v>
          </cell>
          <cell r="E653">
            <v>2005</v>
          </cell>
          <cell r="F653" t="str">
            <v>2 large multibud axilary bud clusters</v>
          </cell>
          <cell r="G653" t="str">
            <v>yes, basal</v>
          </cell>
        </row>
        <row r="654">
          <cell r="B654">
            <v>1591417</v>
          </cell>
          <cell r="D654" t="str">
            <v>UCR0083360</v>
          </cell>
          <cell r="E654">
            <v>2005</v>
          </cell>
          <cell r="F654" t="str">
            <v>4 axiallary buds</v>
          </cell>
          <cell r="G654" t="str">
            <v>yes, cauline w/ intermediate morphology</v>
          </cell>
        </row>
        <row r="655">
          <cell r="B655">
            <v>1602409</v>
          </cell>
          <cell r="D655" t="str">
            <v>UCR0111501</v>
          </cell>
          <cell r="E655">
            <v>2005</v>
          </cell>
          <cell r="F655" t="str">
            <v>5 axillary buds</v>
          </cell>
          <cell r="G655" t="str">
            <v>yes, cauline w/ intermediate morphology</v>
          </cell>
        </row>
        <row r="656">
          <cell r="B656">
            <v>1582894</v>
          </cell>
          <cell r="D656" t="str">
            <v>UCR0083403</v>
          </cell>
          <cell r="E656">
            <v>2005</v>
          </cell>
          <cell r="F656" t="str">
            <v>6 axillary buds</v>
          </cell>
          <cell r="G656" t="str">
            <v>yes, cauline w/ intermediate morphology</v>
          </cell>
        </row>
        <row r="657">
          <cell r="B657">
            <v>2500762</v>
          </cell>
          <cell r="D657">
            <v>154056</v>
          </cell>
          <cell r="E657">
            <v>2005</v>
          </cell>
          <cell r="F657" t="str">
            <v>3 axillary buds, 1 terminal bud cluster</v>
          </cell>
          <cell r="G657" t="str">
            <v xml:space="preserve">yes, cauline, with cauline morphology </v>
          </cell>
        </row>
        <row r="658">
          <cell r="B658">
            <v>2120835</v>
          </cell>
          <cell r="D658" t="str">
            <v>CHSC090955</v>
          </cell>
          <cell r="E658">
            <v>2005</v>
          </cell>
          <cell r="F658" t="str">
            <v>many buds, sml leaf</v>
          </cell>
          <cell r="G658" t="str">
            <v xml:space="preserve">yes, cauline with cauline morphology </v>
          </cell>
        </row>
        <row r="659">
          <cell r="B659">
            <v>469067</v>
          </cell>
          <cell r="D659" t="str">
            <v>SD00062648</v>
          </cell>
          <cell r="E659">
            <v>2005</v>
          </cell>
          <cell r="F659" t="str">
            <v>3 axillary buds</v>
          </cell>
          <cell r="G659" t="str">
            <v>yes, basal</v>
          </cell>
        </row>
        <row r="660">
          <cell r="B660">
            <v>469085</v>
          </cell>
          <cell r="D660" t="str">
            <v>SD00062638</v>
          </cell>
          <cell r="E660">
            <v>2005</v>
          </cell>
          <cell r="F660" t="str">
            <v>several axillary buds</v>
          </cell>
          <cell r="G660" t="str">
            <v>yes, cauline w/ intermediate morphology</v>
          </cell>
        </row>
        <row r="661">
          <cell r="B661">
            <v>469079</v>
          </cell>
          <cell r="D661" t="str">
            <v>SD00062691</v>
          </cell>
          <cell r="E661">
            <v>2005</v>
          </cell>
          <cell r="G661" t="str">
            <v>yes, cauline with basal morphology</v>
          </cell>
        </row>
        <row r="662">
          <cell r="B662">
            <v>1896191</v>
          </cell>
          <cell r="D662" t="str">
            <v>UCSB041759</v>
          </cell>
          <cell r="E662">
            <v>2005</v>
          </cell>
          <cell r="F662" t="str">
            <v>buds w extra</v>
          </cell>
          <cell r="G662" t="str">
            <v>yes, basal</v>
          </cell>
        </row>
        <row r="663">
          <cell r="B663">
            <v>469091</v>
          </cell>
          <cell r="D663" t="str">
            <v>SD00062720</v>
          </cell>
          <cell r="E663">
            <v>2006</v>
          </cell>
          <cell r="F663" t="str">
            <v>4 axiallary buds</v>
          </cell>
          <cell r="G663" t="str">
            <v>yes, basal</v>
          </cell>
        </row>
        <row r="664">
          <cell r="B664">
            <v>469126</v>
          </cell>
          <cell r="D664" t="str">
            <v>SD00062682</v>
          </cell>
          <cell r="E664">
            <v>2006</v>
          </cell>
          <cell r="F664" t="str">
            <v>3 apical bud clusters</v>
          </cell>
          <cell r="G664" t="str">
            <v xml:space="preserve">yes, cauline with cauline morphology </v>
          </cell>
        </row>
        <row r="665">
          <cell r="B665">
            <v>469115</v>
          </cell>
          <cell r="D665" t="str">
            <v>SD00062731</v>
          </cell>
          <cell r="E665">
            <v>2006</v>
          </cell>
          <cell r="F665" t="str">
            <v>5 axillary buds</v>
          </cell>
          <cell r="G665" t="str">
            <v>yes, cauline w/ intermediate morphology</v>
          </cell>
        </row>
        <row r="666">
          <cell r="B666">
            <v>1590780</v>
          </cell>
          <cell r="D666" t="str">
            <v>UCR0083396</v>
          </cell>
          <cell r="E666">
            <v>2006</v>
          </cell>
          <cell r="F666" t="str">
            <v>3 axiallary buds</v>
          </cell>
          <cell r="G666" t="str">
            <v>yes, cauline with basal morphology</v>
          </cell>
        </row>
        <row r="667">
          <cell r="B667">
            <v>1368008</v>
          </cell>
          <cell r="D667" t="str">
            <v>DAV310424</v>
          </cell>
          <cell r="E667">
            <v>2006</v>
          </cell>
          <cell r="F667" t="str">
            <v>4 axiallary buds, 1 lil leaf</v>
          </cell>
          <cell r="G667" t="str">
            <v>yes, cauline w/ intermediate morphology</v>
          </cell>
        </row>
        <row r="668">
          <cell r="B668">
            <v>1368007</v>
          </cell>
          <cell r="D668" t="str">
            <v>DAV310419</v>
          </cell>
          <cell r="E668">
            <v>2006</v>
          </cell>
          <cell r="F668" t="str">
            <v>2 large axillary buds</v>
          </cell>
          <cell r="G668" t="str">
            <v>yes, cauline with basal morphology</v>
          </cell>
        </row>
        <row r="669">
          <cell r="B669" t="str">
            <v>NA</v>
          </cell>
          <cell r="D669" t="str">
            <v>CHSC098192</v>
          </cell>
          <cell r="E669">
            <v>2006</v>
          </cell>
          <cell r="F669" t="str">
            <v>5 axillary buds</v>
          </cell>
          <cell r="G669" t="str">
            <v>yes, cauline w/ intermediate morphology</v>
          </cell>
        </row>
        <row r="670">
          <cell r="B670">
            <v>469105</v>
          </cell>
          <cell r="D670" t="str">
            <v>SD00062729</v>
          </cell>
          <cell r="E670">
            <v>2006</v>
          </cell>
          <cell r="F670" t="str">
            <v>mature leaf and one flw bud</v>
          </cell>
          <cell r="G670" t="str">
            <v>yes, unknown but appears to have basal morphology</v>
          </cell>
        </row>
        <row r="671">
          <cell r="B671">
            <v>469114</v>
          </cell>
          <cell r="D671" t="str">
            <v>SD00062734</v>
          </cell>
          <cell r="E671">
            <v>2006</v>
          </cell>
          <cell r="F671" t="str">
            <v>several bud clusters</v>
          </cell>
          <cell r="G671" t="str">
            <v>yes, basal</v>
          </cell>
        </row>
        <row r="672">
          <cell r="B672">
            <v>469096</v>
          </cell>
          <cell r="D672" t="str">
            <v>SD00062584</v>
          </cell>
          <cell r="E672">
            <v>2006</v>
          </cell>
          <cell r="F672" t="str">
            <v>3 axillary buds</v>
          </cell>
          <cell r="G672" t="str">
            <v>yes, basal</v>
          </cell>
        </row>
        <row r="673">
          <cell r="B673">
            <v>469113</v>
          </cell>
          <cell r="D673" t="str">
            <v>SD00062733</v>
          </cell>
          <cell r="E673">
            <v>2007</v>
          </cell>
          <cell r="F673" t="str">
            <v>6 axillary buds</v>
          </cell>
          <cell r="G673" t="str">
            <v xml:space="preserve">yes, cauline with cauline morphology </v>
          </cell>
        </row>
        <row r="674">
          <cell r="B674">
            <v>469107</v>
          </cell>
          <cell r="D674" t="str">
            <v>SD00062630</v>
          </cell>
          <cell r="E674">
            <v>2007</v>
          </cell>
          <cell r="F674" t="str">
            <v>1 terminal  multi-bud cluster</v>
          </cell>
          <cell r="G674" t="str">
            <v>yes, cauline with basal morphology</v>
          </cell>
        </row>
        <row r="675">
          <cell r="B675">
            <v>469111</v>
          </cell>
          <cell r="D675" t="str">
            <v>SD00062628</v>
          </cell>
          <cell r="E675">
            <v>2007</v>
          </cell>
          <cell r="F675" t="str">
            <v>4 axiallary buds</v>
          </cell>
          <cell r="G675" t="str">
            <v>yes, cauline</v>
          </cell>
        </row>
        <row r="676">
          <cell r="B676">
            <v>80367</v>
          </cell>
          <cell r="D676" t="str">
            <v>SBBG213816</v>
          </cell>
          <cell r="E676">
            <v>2007</v>
          </cell>
          <cell r="F676" t="str">
            <v>3 axiallary buds</v>
          </cell>
          <cell r="G676" t="str">
            <v>yes, cauline with basal morphology</v>
          </cell>
        </row>
        <row r="677">
          <cell r="B677">
            <v>1606153</v>
          </cell>
          <cell r="D677" t="str">
            <v>UCR0083333</v>
          </cell>
          <cell r="E677">
            <v>2007</v>
          </cell>
          <cell r="F677" t="str">
            <v>6 axillary buds</v>
          </cell>
          <cell r="G677" t="str">
            <v>yes, cauline with basal morphology</v>
          </cell>
        </row>
        <row r="678">
          <cell r="B678">
            <v>1368010</v>
          </cell>
          <cell r="D678" t="str">
            <v>DAV310426</v>
          </cell>
          <cell r="E678">
            <v>2007</v>
          </cell>
          <cell r="F678" t="str">
            <v>2 axillary bud</v>
          </cell>
          <cell r="G678" t="str">
            <v>yes, cauline w/ intermediate morphology</v>
          </cell>
        </row>
        <row r="679">
          <cell r="B679">
            <v>1368009</v>
          </cell>
          <cell r="D679" t="str">
            <v>DAV310425</v>
          </cell>
          <cell r="E679">
            <v>2007</v>
          </cell>
        </row>
        <row r="680">
          <cell r="B680">
            <v>2124078</v>
          </cell>
          <cell r="D680" t="str">
            <v>CHSC096467</v>
          </cell>
          <cell r="E680">
            <v>2007</v>
          </cell>
          <cell r="F680" t="str">
            <v>3 axillary bud, 1 little leaf</v>
          </cell>
          <cell r="G680" t="str">
            <v>yes, basal</v>
          </cell>
        </row>
        <row r="681">
          <cell r="B681">
            <v>2125798</v>
          </cell>
          <cell r="D681" t="str">
            <v>CHSC099463</v>
          </cell>
          <cell r="E681">
            <v>2007</v>
          </cell>
          <cell r="F681" t="str">
            <v>4 axiallary buds</v>
          </cell>
          <cell r="G681" t="str">
            <v>yes, cauline with basal morphology</v>
          </cell>
        </row>
        <row r="682">
          <cell r="B682">
            <v>292533</v>
          </cell>
          <cell r="D682" t="str">
            <v>UCSB038863</v>
          </cell>
          <cell r="E682">
            <v>2007</v>
          </cell>
          <cell r="F682" t="str">
            <v>buds w extra</v>
          </cell>
          <cell r="G682" t="str">
            <v>yes, basal</v>
          </cell>
        </row>
        <row r="683">
          <cell r="B683">
            <v>231367</v>
          </cell>
          <cell r="D683" t="str">
            <v>UCSC100000693</v>
          </cell>
          <cell r="E683">
            <v>2007</v>
          </cell>
          <cell r="F683" t="str">
            <v>bud clusters</v>
          </cell>
          <cell r="G683" t="str">
            <v>yes, cauline with basal morphology</v>
          </cell>
        </row>
        <row r="684">
          <cell r="B684">
            <v>469129</v>
          </cell>
          <cell r="D684" t="str">
            <v>SD00062655</v>
          </cell>
          <cell r="E684">
            <v>2008</v>
          </cell>
          <cell r="F684" t="str">
            <v>3 axillary bud, 1 terminal</v>
          </cell>
          <cell r="G684" t="str">
            <v>yes, cauline w/ intermediate morphology</v>
          </cell>
        </row>
        <row r="685">
          <cell r="B685">
            <v>1612297</v>
          </cell>
          <cell r="D685" t="str">
            <v>UCR0083341</v>
          </cell>
          <cell r="E685">
            <v>2008</v>
          </cell>
          <cell r="F685" t="str">
            <v>3 axiallary bud, 1 little leaf</v>
          </cell>
          <cell r="G685" t="str">
            <v>yes, basal</v>
          </cell>
        </row>
        <row r="686">
          <cell r="B686">
            <v>2521638</v>
          </cell>
          <cell r="D686">
            <v>174778</v>
          </cell>
          <cell r="E686">
            <v>2008</v>
          </cell>
          <cell r="F686" t="str">
            <v>2 axillary buds, 1 basal leaf</v>
          </cell>
        </row>
        <row r="687">
          <cell r="B687">
            <v>2146635</v>
          </cell>
          <cell r="D687" t="str">
            <v>CHSC098874</v>
          </cell>
          <cell r="E687">
            <v>2008</v>
          </cell>
          <cell r="F687" t="str">
            <v>3 axiallary buds</v>
          </cell>
          <cell r="G687" t="str">
            <v>yes, cauline with basal morphology</v>
          </cell>
        </row>
        <row r="688">
          <cell r="B688">
            <v>469157</v>
          </cell>
          <cell r="D688" t="str">
            <v>SD00062726</v>
          </cell>
          <cell r="E688">
            <v>2008</v>
          </cell>
          <cell r="F688" t="str">
            <v>1 apical bud cluster</v>
          </cell>
          <cell r="G688" t="str">
            <v>yes, basal</v>
          </cell>
        </row>
        <row r="689">
          <cell r="B689">
            <v>469119</v>
          </cell>
          <cell r="D689" t="str">
            <v>SD00062784</v>
          </cell>
          <cell r="E689">
            <v>2008</v>
          </cell>
          <cell r="F689" t="str">
            <v>2 terminal bud clusters</v>
          </cell>
          <cell r="G689" t="str">
            <v>yes, cauline w/ intermediate morphology</v>
          </cell>
        </row>
        <row r="690">
          <cell r="B690">
            <v>1635613</v>
          </cell>
          <cell r="D690" t="str">
            <v>UCR0083332</v>
          </cell>
          <cell r="E690">
            <v>2009</v>
          </cell>
          <cell r="F690" t="str">
            <v>4 axiallary buds</v>
          </cell>
          <cell r="G690" t="str">
            <v>yes, cauline w/ intermediate morphology</v>
          </cell>
        </row>
        <row r="691">
          <cell r="B691">
            <v>1336458</v>
          </cell>
          <cell r="D691" t="str">
            <v>DAV310437</v>
          </cell>
          <cell r="E691">
            <v>2009</v>
          </cell>
          <cell r="F691" t="str">
            <v>2 axiallary buds, 1 terminal bud cluster, 1 lil leaf</v>
          </cell>
          <cell r="G691" t="str">
            <v>yes, cauline with basal morphology</v>
          </cell>
        </row>
        <row r="692">
          <cell r="B692">
            <v>1336457</v>
          </cell>
          <cell r="D692" t="str">
            <v>DAV300678</v>
          </cell>
          <cell r="E692">
            <v>2009</v>
          </cell>
          <cell r="F692" t="str">
            <v>3 axiallary buds</v>
          </cell>
          <cell r="G692" t="str">
            <v>yes, cauline w/ intermediate morphology</v>
          </cell>
        </row>
        <row r="693">
          <cell r="B693">
            <v>1623574</v>
          </cell>
          <cell r="D693" t="str">
            <v>UCR0111502</v>
          </cell>
          <cell r="E693">
            <v>2009</v>
          </cell>
          <cell r="F693" t="str">
            <v>4 axiallary buds</v>
          </cell>
          <cell r="G693" t="str">
            <v>yes, cauline w/ intermediate morphology</v>
          </cell>
        </row>
        <row r="694">
          <cell r="B694">
            <v>2134739</v>
          </cell>
          <cell r="D694" t="str">
            <v>CHSC114899</v>
          </cell>
          <cell r="E694">
            <v>2009</v>
          </cell>
          <cell r="F694" t="str">
            <v>2 axillary bud</v>
          </cell>
          <cell r="G694" t="str">
            <v>yes, cauline with basal morphology</v>
          </cell>
        </row>
        <row r="695">
          <cell r="B695">
            <v>2134739</v>
          </cell>
          <cell r="D695" t="str">
            <v>CHSC114899</v>
          </cell>
          <cell r="E695">
            <v>2009</v>
          </cell>
          <cell r="F695" t="str">
            <v>4 axiallary buds</v>
          </cell>
          <cell r="G695" t="str">
            <v>yes, cauline with basal morphology</v>
          </cell>
        </row>
        <row r="696">
          <cell r="B696">
            <v>469123</v>
          </cell>
          <cell r="D696" t="str">
            <v>SD00062583</v>
          </cell>
          <cell r="E696">
            <v>2009</v>
          </cell>
          <cell r="F696" t="str">
            <v>axillary bud, small leaf, floral bud clusters</v>
          </cell>
          <cell r="G696" t="str">
            <v>no</v>
          </cell>
        </row>
        <row r="697">
          <cell r="B697">
            <v>469128</v>
          </cell>
          <cell r="D697" t="str">
            <v>SD00062656</v>
          </cell>
          <cell r="E697">
            <v>2009</v>
          </cell>
          <cell r="F697" t="str">
            <v>few axillary buds</v>
          </cell>
          <cell r="G697" t="str">
            <v>yes, cauline</v>
          </cell>
        </row>
        <row r="698">
          <cell r="B698">
            <v>1895626</v>
          </cell>
          <cell r="D698" t="str">
            <v>UCSB041178</v>
          </cell>
          <cell r="E698">
            <v>2009</v>
          </cell>
          <cell r="F698" t="str">
            <v>buds w extra</v>
          </cell>
          <cell r="G698" t="str">
            <v>yes, cauline with basal morphology</v>
          </cell>
        </row>
        <row r="699">
          <cell r="B699">
            <v>407313</v>
          </cell>
          <cell r="D699" t="str">
            <v>SBBG213845</v>
          </cell>
          <cell r="E699">
            <v>2010</v>
          </cell>
          <cell r="F699" t="str">
            <v>3 huge multibud clusters</v>
          </cell>
          <cell r="G699" t="str">
            <v>yes, basal</v>
          </cell>
        </row>
        <row r="700">
          <cell r="B700">
            <v>147598</v>
          </cell>
          <cell r="D700" t="str">
            <v>SBBG213846</v>
          </cell>
          <cell r="E700">
            <v>2010</v>
          </cell>
          <cell r="F700" t="str">
            <v>6 bud clusters</v>
          </cell>
          <cell r="G700" t="str">
            <v>yes, cauline w/ intermediate morphology</v>
          </cell>
        </row>
        <row r="701">
          <cell r="B701">
            <v>1635523</v>
          </cell>
          <cell r="D701" t="str">
            <v>UCR0083316</v>
          </cell>
          <cell r="E701">
            <v>2010</v>
          </cell>
          <cell r="F701" t="str">
            <v>3 axiallary buds</v>
          </cell>
          <cell r="G701" t="str">
            <v>yes, cauline w/ intermediate morphology</v>
          </cell>
        </row>
        <row r="702">
          <cell r="B702">
            <v>1630048</v>
          </cell>
          <cell r="D702" t="str">
            <v>UCR0083330</v>
          </cell>
          <cell r="E702">
            <v>2010</v>
          </cell>
          <cell r="F702" t="str">
            <v>3 axiallary buds</v>
          </cell>
          <cell r="G702" t="str">
            <v>yes, basal</v>
          </cell>
        </row>
        <row r="703">
          <cell r="B703">
            <v>1675351</v>
          </cell>
          <cell r="D703" t="str">
            <v>UCR0083329</v>
          </cell>
          <cell r="E703">
            <v>2010</v>
          </cell>
          <cell r="F703" t="str">
            <v>2 terminal bud cluster</v>
          </cell>
          <cell r="G703" t="str">
            <v>yes, cauline with basal morphology</v>
          </cell>
        </row>
        <row r="704">
          <cell r="B704">
            <v>1675381</v>
          </cell>
          <cell r="D704" t="str">
            <v>UCR0083328</v>
          </cell>
          <cell r="E704">
            <v>2010</v>
          </cell>
          <cell r="F704" t="str">
            <v>2 terminal bud cluster</v>
          </cell>
          <cell r="G704" t="str">
            <v>yes, cauline w/ intermediate morphology</v>
          </cell>
        </row>
        <row r="705">
          <cell r="B705">
            <v>1675373</v>
          </cell>
          <cell r="D705" t="str">
            <v>UCR0083327</v>
          </cell>
          <cell r="E705">
            <v>2010</v>
          </cell>
          <cell r="F705" t="str">
            <v>4 axiallary buds</v>
          </cell>
          <cell r="G705" t="str">
            <v xml:space="preserve">yes, cauline with cauline morphology </v>
          </cell>
        </row>
        <row r="706">
          <cell r="B706">
            <v>1676594</v>
          </cell>
          <cell r="D706" t="str">
            <v>UCR0083326</v>
          </cell>
          <cell r="E706">
            <v>2010</v>
          </cell>
          <cell r="F706" t="str">
            <v>3 apical bud clusters, 1 axillary bud</v>
          </cell>
          <cell r="G706" t="str">
            <v>yes, cauline w/ intermediate morphology</v>
          </cell>
        </row>
        <row r="707">
          <cell r="B707">
            <v>1660296</v>
          </cell>
          <cell r="D707" t="str">
            <v>UCR0083405</v>
          </cell>
          <cell r="E707">
            <v>2010</v>
          </cell>
          <cell r="F707" t="str">
            <v>2 axiallary bud</v>
          </cell>
          <cell r="G707" t="str">
            <v xml:space="preserve">yes, cauline with cauline morphology </v>
          </cell>
        </row>
        <row r="708">
          <cell r="B708">
            <v>1660287</v>
          </cell>
          <cell r="D708" t="str">
            <v>UCR0083406</v>
          </cell>
          <cell r="E708">
            <v>2010</v>
          </cell>
          <cell r="F708" t="str">
            <v>4 axiallary buds</v>
          </cell>
          <cell r="G708" t="str">
            <v>yes, cauline w/ intermediate morphology</v>
          </cell>
        </row>
        <row r="709">
          <cell r="B709">
            <v>3700296</v>
          </cell>
          <cell r="D709" t="str">
            <v>SD00030202</v>
          </cell>
          <cell r="E709">
            <v>2010</v>
          </cell>
          <cell r="F709" t="str">
            <v>several tiny axillary buds</v>
          </cell>
          <cell r="G709" t="str">
            <v>yes, basal</v>
          </cell>
        </row>
        <row r="710">
          <cell r="B710">
            <v>469137</v>
          </cell>
          <cell r="D710" t="str">
            <v>SD00062707</v>
          </cell>
          <cell r="E710">
            <v>2010</v>
          </cell>
          <cell r="F710" t="str">
            <v>many buds, sml leaf</v>
          </cell>
          <cell r="G710" t="str">
            <v>yes, basal</v>
          </cell>
        </row>
        <row r="711">
          <cell r="B711">
            <v>393682</v>
          </cell>
          <cell r="D711" t="str">
            <v>SDSU19512</v>
          </cell>
          <cell r="E711">
            <v>2010</v>
          </cell>
          <cell r="F711" t="str">
            <v>few axillary buds + some big buds</v>
          </cell>
          <cell r="G711" t="str">
            <v>yes, cauline with basal morphology</v>
          </cell>
        </row>
        <row r="712">
          <cell r="B712">
            <v>469135</v>
          </cell>
          <cell r="D712" t="str">
            <v>SD00062557</v>
          </cell>
          <cell r="E712">
            <v>2011</v>
          </cell>
          <cell r="F712" t="str">
            <v>5 axillary buds; 2 little leaves</v>
          </cell>
          <cell r="G712" t="str">
            <v>yes, cauline w/ intermediate morphology</v>
          </cell>
        </row>
        <row r="713">
          <cell r="B713">
            <v>469151</v>
          </cell>
          <cell r="D713" t="str">
            <v>SD00062705</v>
          </cell>
          <cell r="E713">
            <v>2011</v>
          </cell>
          <cell r="F713" t="str">
            <v>5 axillary buds</v>
          </cell>
          <cell r="G713" t="str">
            <v>yes, cauline w/ intermediate morphology</v>
          </cell>
        </row>
        <row r="714">
          <cell r="B714">
            <v>1695490</v>
          </cell>
          <cell r="D714" t="str">
            <v>UCR0083350</v>
          </cell>
          <cell r="E714">
            <v>2011</v>
          </cell>
          <cell r="F714" t="str">
            <v>3 axiallary buds</v>
          </cell>
          <cell r="G714" t="str">
            <v>yes, cauline w/ intermediate morphology</v>
          </cell>
        </row>
        <row r="715">
          <cell r="B715">
            <v>1652583</v>
          </cell>
          <cell r="D715" t="str">
            <v>UCR0083380</v>
          </cell>
          <cell r="E715">
            <v>2011</v>
          </cell>
          <cell r="F715" t="str">
            <v>5 axillary buds</v>
          </cell>
          <cell r="G715" t="str">
            <v>yes, cauline with basal morphology</v>
          </cell>
        </row>
        <row r="716">
          <cell r="B716">
            <v>235906</v>
          </cell>
          <cell r="D716" t="str">
            <v>UCSC100000697</v>
          </cell>
          <cell r="E716">
            <v>2011</v>
          </cell>
          <cell r="F716" t="str">
            <v>few bud clusters</v>
          </cell>
          <cell r="G716" t="str">
            <v>no</v>
          </cell>
        </row>
        <row r="717">
          <cell r="B717">
            <v>236400</v>
          </cell>
          <cell r="D717" t="str">
            <v>UCSC100000698</v>
          </cell>
          <cell r="E717">
            <v>2011</v>
          </cell>
          <cell r="F717" t="str">
            <v>2+ axillary bud clusters + extra buds</v>
          </cell>
          <cell r="G717" t="str">
            <v>yes, basal</v>
          </cell>
        </row>
        <row r="718">
          <cell r="B718">
            <v>469174</v>
          </cell>
          <cell r="D718" t="str">
            <v>SD00062723</v>
          </cell>
          <cell r="E718">
            <v>2012</v>
          </cell>
          <cell r="F718" t="str">
            <v>3 apical bud clusters, 1 axillary bud</v>
          </cell>
          <cell r="G718" t="str">
            <v xml:space="preserve">yes, cauline with cauline morphology </v>
          </cell>
        </row>
        <row r="719">
          <cell r="B719">
            <v>469165</v>
          </cell>
          <cell r="D719" t="str">
            <v>SD00062696</v>
          </cell>
          <cell r="E719">
            <v>2012</v>
          </cell>
          <cell r="F719" t="str">
            <v>4 axiallary buds</v>
          </cell>
          <cell r="G719" t="str">
            <v>yes, basal</v>
          </cell>
        </row>
        <row r="720">
          <cell r="B720">
            <v>469138</v>
          </cell>
          <cell r="D720" t="str">
            <v>SD00062775</v>
          </cell>
          <cell r="E720">
            <v>2012</v>
          </cell>
          <cell r="F720" t="str">
            <v>6 axillary buds</v>
          </cell>
          <cell r="G720" t="str">
            <v>yes, cauline w/ intermediate morphology</v>
          </cell>
        </row>
        <row r="721">
          <cell r="B721">
            <v>469175</v>
          </cell>
          <cell r="D721" t="str">
            <v>SD00062722</v>
          </cell>
          <cell r="E721">
            <v>2012</v>
          </cell>
          <cell r="F721" t="str">
            <v>4 axiallary buds</v>
          </cell>
          <cell r="G721" t="str">
            <v>yes, basal</v>
          </cell>
        </row>
        <row r="722">
          <cell r="B722">
            <v>1655769</v>
          </cell>
          <cell r="D722" t="str">
            <v>UCR0083356</v>
          </cell>
          <cell r="E722">
            <v>2012</v>
          </cell>
          <cell r="F722" t="str">
            <v>5 axillary buds</v>
          </cell>
          <cell r="G722" t="str">
            <v xml:space="preserve">yes, cauline with cauline morphology </v>
          </cell>
        </row>
        <row r="723">
          <cell r="B723">
            <v>1670844</v>
          </cell>
          <cell r="D723" t="str">
            <v>UCR0083311</v>
          </cell>
          <cell r="E723">
            <v>2012</v>
          </cell>
          <cell r="F723" t="str">
            <v>4 axiallary buds</v>
          </cell>
          <cell r="G723" t="str">
            <v xml:space="preserve">yes, basal </v>
          </cell>
        </row>
        <row r="724">
          <cell r="B724">
            <v>1654238</v>
          </cell>
          <cell r="D724" t="str">
            <v>UCR0083407</v>
          </cell>
          <cell r="E724">
            <v>2012</v>
          </cell>
          <cell r="F724" t="str">
            <v>6 axillary buds</v>
          </cell>
          <cell r="G724" t="str">
            <v xml:space="preserve">yes, cauline with cauline morphology </v>
          </cell>
        </row>
        <row r="725">
          <cell r="B725">
            <v>1654228</v>
          </cell>
          <cell r="D725" t="str">
            <v>UCR0083408</v>
          </cell>
          <cell r="E725">
            <v>2012</v>
          </cell>
          <cell r="F725" t="str">
            <v>1 big axillary bud cluster, few other buds and lil leaf</v>
          </cell>
          <cell r="G725" t="str">
            <v>yes, cauline w/ intermediate morphology</v>
          </cell>
        </row>
        <row r="726">
          <cell r="B726">
            <v>1372819</v>
          </cell>
          <cell r="D726" t="str">
            <v>DAV300679</v>
          </cell>
          <cell r="E726">
            <v>2012</v>
          </cell>
          <cell r="F726" t="str">
            <v>2 axiallary bud2, 1 terminal bud cluster</v>
          </cell>
          <cell r="G726" t="str">
            <v xml:space="preserve">yes, basal </v>
          </cell>
        </row>
        <row r="727">
          <cell r="B727">
            <v>1667093</v>
          </cell>
          <cell r="D727" t="str">
            <v>UCR0083355</v>
          </cell>
          <cell r="E727">
            <v>2012</v>
          </cell>
          <cell r="F727" t="str">
            <v>1 terminal bud clusters</v>
          </cell>
          <cell r="G727" t="str">
            <v>no</v>
          </cell>
        </row>
        <row r="728">
          <cell r="B728">
            <v>1654256</v>
          </cell>
          <cell r="D728" t="str">
            <v>UCR0083383</v>
          </cell>
          <cell r="E728">
            <v>2012</v>
          </cell>
          <cell r="F728" t="str">
            <v>3 axiallary buds</v>
          </cell>
          <cell r="G728" t="str">
            <v>yes, cauline w/ intermediate morphology</v>
          </cell>
        </row>
        <row r="729">
          <cell r="B729">
            <v>1655320</v>
          </cell>
          <cell r="D729" t="str">
            <v>UCR0083384</v>
          </cell>
          <cell r="E729">
            <v>2012</v>
          </cell>
          <cell r="F729" t="str">
            <v>3 axiallary buds</v>
          </cell>
          <cell r="G729" t="str">
            <v>yes, basal</v>
          </cell>
        </row>
        <row r="730">
          <cell r="B730">
            <v>1655697</v>
          </cell>
          <cell r="D730" t="str">
            <v>UCR0083391</v>
          </cell>
          <cell r="E730">
            <v>2012</v>
          </cell>
          <cell r="F730" t="str">
            <v>3 axiallary buds</v>
          </cell>
          <cell r="G730" t="str">
            <v>yes, cauline w/ intermediate morphology</v>
          </cell>
        </row>
        <row r="731">
          <cell r="B731">
            <v>1654175</v>
          </cell>
          <cell r="D731" t="str">
            <v>UCR0083397</v>
          </cell>
          <cell r="E731">
            <v>2012</v>
          </cell>
          <cell r="F731" t="str">
            <v>2 axillary bud, 2 terminal bud cluster</v>
          </cell>
          <cell r="G731" t="str">
            <v xml:space="preserve">yes, basal </v>
          </cell>
        </row>
        <row r="732">
          <cell r="B732">
            <v>2132998</v>
          </cell>
          <cell r="D732" t="str">
            <v>CHSC111394</v>
          </cell>
          <cell r="E732">
            <v>2012</v>
          </cell>
          <cell r="F732" t="str">
            <v>3 axillary bud, 1 little leaf</v>
          </cell>
          <cell r="G732" t="str">
            <v>yes, basal</v>
          </cell>
        </row>
        <row r="733">
          <cell r="B733">
            <v>469173</v>
          </cell>
          <cell r="D733" t="str">
            <v>SD00062724</v>
          </cell>
          <cell r="E733">
            <v>2012</v>
          </cell>
          <cell r="F733" t="str">
            <v>big bud clusters</v>
          </cell>
          <cell r="G733" t="str">
            <v>yes, basal morphology (unclear if cauline bc not attached to plant</v>
          </cell>
        </row>
        <row r="734">
          <cell r="B734">
            <v>469164</v>
          </cell>
          <cell r="D734" t="str">
            <v>SD00062697</v>
          </cell>
          <cell r="E734">
            <v>2012</v>
          </cell>
          <cell r="F734" t="str">
            <v>2 apical bud clusters</v>
          </cell>
          <cell r="G734" t="str">
            <v>yes, cauline, intermediate morphology</v>
          </cell>
        </row>
        <row r="735">
          <cell r="B735">
            <v>469163</v>
          </cell>
          <cell r="D735" t="str">
            <v>SD00062698</v>
          </cell>
          <cell r="E735">
            <v>2012</v>
          </cell>
          <cell r="F735" t="str">
            <v>bud clusters</v>
          </cell>
          <cell r="G735" t="str">
            <v>yes, cauline</v>
          </cell>
        </row>
        <row r="736">
          <cell r="B736">
            <v>469160</v>
          </cell>
          <cell r="D736" t="str">
            <v>SD00062701</v>
          </cell>
          <cell r="E736">
            <v>2012</v>
          </cell>
          <cell r="F736" t="str">
            <v>2 apical bud clusters</v>
          </cell>
          <cell r="G736" t="str">
            <v>yes, unknown but appears to have basal morphology</v>
          </cell>
        </row>
        <row r="737">
          <cell r="B737">
            <v>469136</v>
          </cell>
          <cell r="D737" t="str">
            <v>SD00062776</v>
          </cell>
          <cell r="E737">
            <v>2012</v>
          </cell>
          <cell r="F737" t="str">
            <v>several axiallary buds</v>
          </cell>
          <cell r="G737" t="str">
            <v>yes, basal</v>
          </cell>
        </row>
        <row r="738">
          <cell r="B738">
            <v>469140</v>
          </cell>
          <cell r="D738" t="str">
            <v>SD00062774</v>
          </cell>
          <cell r="E738">
            <v>2012</v>
          </cell>
          <cell r="F738" t="str">
            <v>3 bud clusters</v>
          </cell>
          <cell r="G738" t="str">
            <v>yes, cauline</v>
          </cell>
        </row>
        <row r="739">
          <cell r="B739">
            <v>469139</v>
          </cell>
          <cell r="D739" t="str">
            <v>SD00062706</v>
          </cell>
          <cell r="E739">
            <v>2012</v>
          </cell>
          <cell r="F739" t="str">
            <v>few axillary and one floral bud cluster</v>
          </cell>
          <cell r="G739" t="str">
            <v>yes, cauline w/ intermediate morphology</v>
          </cell>
        </row>
        <row r="740">
          <cell r="B740">
            <v>394122</v>
          </cell>
          <cell r="D740" t="str">
            <v>SDSU19952</v>
          </cell>
          <cell r="E740">
            <v>2012</v>
          </cell>
          <cell r="F740" t="str">
            <v>buds, maybe an axillary bud</v>
          </cell>
          <cell r="G740" t="str">
            <v>yes, basal</v>
          </cell>
        </row>
        <row r="741">
          <cell r="B741">
            <v>394165</v>
          </cell>
          <cell r="D741" t="str">
            <v>SDSU19995</v>
          </cell>
          <cell r="E741">
            <v>2012</v>
          </cell>
          <cell r="F741" t="str">
            <v>buds, maybe an axillary bud</v>
          </cell>
          <cell r="G741" t="str">
            <v>yes, basal</v>
          </cell>
        </row>
        <row r="742">
          <cell r="B742">
            <v>236700</v>
          </cell>
          <cell r="D742" t="str">
            <v>UCSC100000689</v>
          </cell>
          <cell r="E742">
            <v>2012</v>
          </cell>
          <cell r="F742" t="str">
            <v>buds, and apicle cluster (extra big buds)</v>
          </cell>
          <cell r="G742" t="str">
            <v>yes, basal morphology (unclear if cauline bc not attached to plant</v>
          </cell>
        </row>
        <row r="743">
          <cell r="B743">
            <v>469147</v>
          </cell>
          <cell r="D743" t="str">
            <v>SD00062650</v>
          </cell>
          <cell r="E743">
            <v>2013</v>
          </cell>
          <cell r="F743" t="str">
            <v>2 axillary, 3 apical bud clusters</v>
          </cell>
          <cell r="G743" t="str">
            <v>yes, basal</v>
          </cell>
        </row>
        <row r="744">
          <cell r="B744">
            <v>1673929</v>
          </cell>
          <cell r="D744" t="str">
            <v>UCR0083431</v>
          </cell>
          <cell r="E744">
            <v>2013</v>
          </cell>
          <cell r="F744" t="str">
            <v>2 axiallary bud</v>
          </cell>
          <cell r="G744" t="str">
            <v xml:space="preserve">yes, cauline with cauline morphology </v>
          </cell>
        </row>
        <row r="745">
          <cell r="B745">
            <v>1669580</v>
          </cell>
          <cell r="D745" t="str">
            <v>UCR0083354</v>
          </cell>
          <cell r="E745">
            <v>2013</v>
          </cell>
          <cell r="F745" t="str">
            <v>4 axiallary buds</v>
          </cell>
          <cell r="G745" t="str">
            <v>yes, cauline w/ intermediate morphology</v>
          </cell>
        </row>
        <row r="746">
          <cell r="B746">
            <v>1666111</v>
          </cell>
          <cell r="D746" t="str">
            <v>UCR0083378</v>
          </cell>
          <cell r="E746">
            <v>2013</v>
          </cell>
          <cell r="F746" t="str">
            <v>4 axiallary buds</v>
          </cell>
          <cell r="G746" t="str">
            <v>yes, cauline with basal morphology</v>
          </cell>
        </row>
        <row r="747">
          <cell r="B747">
            <v>1667960</v>
          </cell>
          <cell r="D747" t="str">
            <v>UCR0083377</v>
          </cell>
          <cell r="E747">
            <v>2013</v>
          </cell>
          <cell r="F747" t="str">
            <v>4 axiallary buds, 1 lil leaf</v>
          </cell>
          <cell r="G747" t="str">
            <v>yes, cauline with basal morphology</v>
          </cell>
        </row>
        <row r="748">
          <cell r="B748">
            <v>1671045</v>
          </cell>
          <cell r="D748" t="str">
            <v>UCR0083389</v>
          </cell>
          <cell r="E748">
            <v>2013</v>
          </cell>
          <cell r="F748" t="str">
            <v>3 axillary bud, 1 terminal</v>
          </cell>
          <cell r="G748" t="str">
            <v xml:space="preserve">yes, cauline with cauline morphology </v>
          </cell>
        </row>
        <row r="749">
          <cell r="B749">
            <v>1392578</v>
          </cell>
          <cell r="D749" t="str">
            <v>DAV310393</v>
          </cell>
          <cell r="E749">
            <v>2013</v>
          </cell>
        </row>
        <row r="750">
          <cell r="B750">
            <v>2133518</v>
          </cell>
          <cell r="D750" t="str">
            <v>CHSC112304</v>
          </cell>
          <cell r="E750">
            <v>2013</v>
          </cell>
          <cell r="F750" t="str">
            <v>3 axiallary buds (?)</v>
          </cell>
          <cell r="G750" t="str">
            <v>yes, basal</v>
          </cell>
        </row>
        <row r="751">
          <cell r="B751">
            <v>236311</v>
          </cell>
          <cell r="D751" t="str">
            <v>UCSC100000688</v>
          </cell>
          <cell r="E751">
            <v>2013</v>
          </cell>
          <cell r="F751" t="str">
            <v>2+ axillary bud clusters + extra buds</v>
          </cell>
          <cell r="G751" t="str">
            <v>yes, basal</v>
          </cell>
        </row>
        <row r="752">
          <cell r="B752">
            <v>469152</v>
          </cell>
          <cell r="D752" t="str">
            <v>SD00062702</v>
          </cell>
          <cell r="E752">
            <v>2014</v>
          </cell>
          <cell r="F752" t="str">
            <v>1 axillary bud, 2 terminal bud cluster</v>
          </cell>
          <cell r="G752" t="str">
            <v>yes, cauline w/ intermediate morphology</v>
          </cell>
        </row>
        <row r="753">
          <cell r="B753">
            <v>1671160</v>
          </cell>
          <cell r="D753" t="str">
            <v>UCR0083398</v>
          </cell>
          <cell r="E753">
            <v>2014</v>
          </cell>
          <cell r="F753" t="str">
            <v>1 large terminal bud cluster, 2 axially bud, lil leaves</v>
          </cell>
          <cell r="G753" t="str">
            <v>yes, cauline with basal morphology</v>
          </cell>
        </row>
        <row r="754">
          <cell r="B754">
            <v>124275</v>
          </cell>
          <cell r="D754" t="str">
            <v>SBBG213850</v>
          </cell>
          <cell r="E754">
            <v>2015</v>
          </cell>
          <cell r="F754" t="str">
            <v>4 axiallary buds, few lil leaves</v>
          </cell>
          <cell r="G754" t="str">
            <v>yes, basal</v>
          </cell>
        </row>
        <row r="755">
          <cell r="B755">
            <v>95043</v>
          </cell>
          <cell r="D755" t="str">
            <v>SBBG213848</v>
          </cell>
          <cell r="E755">
            <v>2015</v>
          </cell>
          <cell r="F755" t="str">
            <v>2 axillary bud, 2 terminal bud cluster</v>
          </cell>
          <cell r="G755" t="str">
            <v>yes, cauline with basal morphology</v>
          </cell>
        </row>
        <row r="756">
          <cell r="B756">
            <v>3591679</v>
          </cell>
          <cell r="D756" t="str">
            <v>UCR0083304</v>
          </cell>
          <cell r="E756">
            <v>2015</v>
          </cell>
          <cell r="F756" t="str">
            <v>2 axiallary bud2, 1 terminal bud cluster</v>
          </cell>
          <cell r="G756" t="str">
            <v>yes, cauline</v>
          </cell>
        </row>
        <row r="757">
          <cell r="B757">
            <v>1399259</v>
          </cell>
          <cell r="D757" t="str">
            <v>DAV310441</v>
          </cell>
          <cell r="E757">
            <v>2015</v>
          </cell>
          <cell r="F757" t="str">
            <v>4 axillary, 1 big multibud terminal</v>
          </cell>
          <cell r="G757" t="str">
            <v>yes, cauline with basal morphology</v>
          </cell>
        </row>
        <row r="758">
          <cell r="B758">
            <v>1399262</v>
          </cell>
          <cell r="D758" t="str">
            <v>DAV310444</v>
          </cell>
          <cell r="E758">
            <v>2015</v>
          </cell>
          <cell r="F758" t="str">
            <v>1 terminal  multi-bud cluster</v>
          </cell>
          <cell r="G758" t="str">
            <v>yes, basal</v>
          </cell>
        </row>
        <row r="759">
          <cell r="B759">
            <v>1399261</v>
          </cell>
          <cell r="D759" t="str">
            <v>DAV310443</v>
          </cell>
          <cell r="E759">
            <v>2015</v>
          </cell>
          <cell r="F759" t="str">
            <v>4 axiallary buds</v>
          </cell>
          <cell r="G759" t="str">
            <v>yes, cauline w/ intermediate morphology</v>
          </cell>
        </row>
        <row r="760">
          <cell r="B760">
            <v>1399260</v>
          </cell>
          <cell r="D760" t="str">
            <v>DAV310442</v>
          </cell>
          <cell r="E760">
            <v>2015</v>
          </cell>
          <cell r="F760" t="str">
            <v>3 axiallary bud</v>
          </cell>
          <cell r="G760" t="str">
            <v>yes, basal</v>
          </cell>
        </row>
        <row r="761">
          <cell r="B761">
            <v>2763913</v>
          </cell>
          <cell r="D761">
            <v>532999</v>
          </cell>
          <cell r="E761">
            <v>2015</v>
          </cell>
          <cell r="F761" t="str">
            <v>2 axillary buds, 1 terminal bud cluster</v>
          </cell>
          <cell r="G761" t="str">
            <v>yes, basal</v>
          </cell>
        </row>
        <row r="762">
          <cell r="B762">
            <v>238791</v>
          </cell>
          <cell r="D762" t="str">
            <v>UCSC100000690</v>
          </cell>
          <cell r="E762">
            <v>2015</v>
          </cell>
          <cell r="F762" t="str">
            <v>axillary bud clusters +</v>
          </cell>
          <cell r="G762" t="str">
            <v>yes, basal</v>
          </cell>
        </row>
        <row r="763">
          <cell r="B763">
            <v>216778</v>
          </cell>
          <cell r="D763" t="str">
            <v>OBI101740</v>
          </cell>
          <cell r="E763">
            <v>2016</v>
          </cell>
          <cell r="F763" t="str">
            <v>buds w extra</v>
          </cell>
          <cell r="G763" t="str">
            <v>yes, cauline, not basal morphology</v>
          </cell>
        </row>
        <row r="764">
          <cell r="B764">
            <v>469176</v>
          </cell>
          <cell r="D764" t="str">
            <v>SD00062725</v>
          </cell>
          <cell r="E764">
            <v>2016</v>
          </cell>
          <cell r="F764" t="str">
            <v>4 bud clusters</v>
          </cell>
          <cell r="G764" t="str">
            <v>yes, cauline</v>
          </cell>
        </row>
        <row r="765">
          <cell r="B765">
            <v>395628</v>
          </cell>
          <cell r="D765" t="str">
            <v>SDSU21677</v>
          </cell>
          <cell r="E765">
            <v>2016</v>
          </cell>
          <cell r="F765" t="str">
            <v>few axillary buds + some big buds</v>
          </cell>
          <cell r="G765" t="str">
            <v>yes, basal</v>
          </cell>
        </row>
        <row r="766">
          <cell r="B766">
            <v>3349335</v>
          </cell>
          <cell r="D766" t="str">
            <v>JEPS127092</v>
          </cell>
          <cell r="E766">
            <v>2016</v>
          </cell>
          <cell r="F766" t="str">
            <v>3 bud clusters</v>
          </cell>
          <cell r="G766" t="str">
            <v>yes, basal</v>
          </cell>
        </row>
        <row r="767">
          <cell r="B767">
            <v>5509705</v>
          </cell>
          <cell r="D767" t="str">
            <v>UC2082406</v>
          </cell>
          <cell r="E767">
            <v>2016</v>
          </cell>
          <cell r="F767" t="str">
            <v>5 bud clusters</v>
          </cell>
          <cell r="G767" t="str">
            <v>yes, basal (yellowing, wet)</v>
          </cell>
        </row>
        <row r="768">
          <cell r="B768">
            <v>3113067</v>
          </cell>
          <cell r="D768" t="str">
            <v>SD00023691</v>
          </cell>
          <cell r="E768">
            <v>2017</v>
          </cell>
          <cell r="F768" t="str">
            <v>3 axiallary buds</v>
          </cell>
          <cell r="G768" t="str">
            <v>yes, cauline</v>
          </cell>
        </row>
        <row r="769">
          <cell r="B769">
            <v>3620051</v>
          </cell>
          <cell r="D769" t="str">
            <v>SD00025459</v>
          </cell>
          <cell r="E769">
            <v>2017</v>
          </cell>
          <cell r="F769" t="str">
            <v>7 axillary buds</v>
          </cell>
          <cell r="G769" t="str">
            <v>yes, basal</v>
          </cell>
        </row>
        <row r="770">
          <cell r="B770">
            <v>3700299</v>
          </cell>
          <cell r="D770" t="str">
            <v>SD00029907</v>
          </cell>
          <cell r="E770">
            <v>2017</v>
          </cell>
          <cell r="F770" t="str">
            <v>6 axillary buds</v>
          </cell>
          <cell r="G770" t="str">
            <v>yes, cauline w/ intermediate morphology</v>
          </cell>
        </row>
        <row r="771">
          <cell r="B771">
            <v>1699178</v>
          </cell>
          <cell r="D771" t="str">
            <v>UCR0083323</v>
          </cell>
          <cell r="E771">
            <v>2017</v>
          </cell>
          <cell r="F771" t="str">
            <v>5 axillary buds</v>
          </cell>
          <cell r="G771" t="str">
            <v>yes, cauline w/ intermediate morphology</v>
          </cell>
        </row>
        <row r="772">
          <cell r="B772">
            <v>215180</v>
          </cell>
          <cell r="D772" t="str">
            <v>OBI101741</v>
          </cell>
          <cell r="E772">
            <v>2017</v>
          </cell>
          <cell r="F772" t="str">
            <v>buds w extra, tiny lf</v>
          </cell>
          <cell r="G772" t="str">
            <v>yes, basal</v>
          </cell>
        </row>
        <row r="773">
          <cell r="B773">
            <v>3964300</v>
          </cell>
          <cell r="D773" t="str">
            <v>UCSB044460</v>
          </cell>
          <cell r="E773">
            <v>2017</v>
          </cell>
          <cell r="F773" t="str">
            <v>buds w extra</v>
          </cell>
          <cell r="G773" t="str">
            <v>yes, cauline, not basal morphology</v>
          </cell>
        </row>
        <row r="774">
          <cell r="B774">
            <v>4064867</v>
          </cell>
          <cell r="D774" t="str">
            <v>UCSB050386</v>
          </cell>
          <cell r="E774">
            <v>2017</v>
          </cell>
          <cell r="F774" t="str">
            <v>buds w extra</v>
          </cell>
          <cell r="G774" t="str">
            <v>yes, basal (wet??)</v>
          </cell>
        </row>
        <row r="775">
          <cell r="B775">
            <v>2890234</v>
          </cell>
          <cell r="D775" t="str">
            <v>SD00021403</v>
          </cell>
          <cell r="E775">
            <v>2018</v>
          </cell>
          <cell r="F775" t="str">
            <v>3 axillary bud, 1 little leaf</v>
          </cell>
          <cell r="G775" t="str">
            <v>yes, basal</v>
          </cell>
        </row>
        <row r="776">
          <cell r="B776">
            <v>3771777</v>
          </cell>
          <cell r="D776" t="str">
            <v>SBBG174263</v>
          </cell>
          <cell r="E776">
            <v>2018</v>
          </cell>
          <cell r="F776" t="str">
            <v>5 bud clusters</v>
          </cell>
          <cell r="G776" t="str">
            <v>yes, cauline with basal morphology</v>
          </cell>
        </row>
        <row r="777">
          <cell r="B777">
            <v>1702201</v>
          </cell>
          <cell r="D777" t="str">
            <v>UCR0083315</v>
          </cell>
          <cell r="E777">
            <v>2018</v>
          </cell>
          <cell r="F777" t="str">
            <v>4 axiallary buds</v>
          </cell>
          <cell r="G777" t="str">
            <v>yes, cauline with basal morphology</v>
          </cell>
        </row>
        <row r="778">
          <cell r="B778">
            <v>2264695</v>
          </cell>
          <cell r="D778" t="str">
            <v>SBBG166103</v>
          </cell>
          <cell r="E778">
            <v>2019</v>
          </cell>
          <cell r="F778" t="str">
            <v>5 axillary buds; 1 little leaves</v>
          </cell>
          <cell r="G778" t="str">
            <v>yes, cauline with basal morphology</v>
          </cell>
        </row>
        <row r="779">
          <cell r="B779">
            <v>2963303</v>
          </cell>
          <cell r="D779" t="str">
            <v>DAV325632</v>
          </cell>
          <cell r="E779">
            <v>2019</v>
          </cell>
          <cell r="F779" t="str">
            <v>2 axiallary bud</v>
          </cell>
          <cell r="G779" t="str">
            <v>yes, cauline with basal morphology</v>
          </cell>
        </row>
        <row r="780">
          <cell r="B780">
            <v>2963303</v>
          </cell>
          <cell r="D780" t="str">
            <v>DAV325632</v>
          </cell>
          <cell r="E780">
            <v>2019</v>
          </cell>
        </row>
        <row r="781">
          <cell r="B781">
            <v>3828689</v>
          </cell>
          <cell r="D781" t="str">
            <v>CHSC122361</v>
          </cell>
          <cell r="E781">
            <v>2019</v>
          </cell>
          <cell r="F781" t="str">
            <v>2 axillary bud</v>
          </cell>
          <cell r="G781" t="str">
            <v>yes, basal</v>
          </cell>
        </row>
        <row r="782">
          <cell r="B782">
            <v>3630484</v>
          </cell>
          <cell r="D782" t="str">
            <v>OBI161552</v>
          </cell>
          <cell r="E782">
            <v>2019</v>
          </cell>
          <cell r="F782" t="str">
            <v>buds w extra</v>
          </cell>
          <cell r="G782" t="str">
            <v>yes, cauline with basal morphology</v>
          </cell>
        </row>
        <row r="783">
          <cell r="B783">
            <v>6014478</v>
          </cell>
          <cell r="D783" t="str">
            <v>SD00087803</v>
          </cell>
          <cell r="E783">
            <v>2019</v>
          </cell>
          <cell r="F783" t="str">
            <v>2 little axiallary buds, one tiny leaf</v>
          </cell>
          <cell r="G783" t="str">
            <v>yes, cauline</v>
          </cell>
        </row>
        <row r="784">
          <cell r="B784">
            <v>3590276</v>
          </cell>
          <cell r="D784" t="str">
            <v>UCSC100003126</v>
          </cell>
          <cell r="E784">
            <v>2019</v>
          </cell>
          <cell r="F784" t="str">
            <v>2+ axillary bud clusters + extra buds</v>
          </cell>
          <cell r="G784" t="str">
            <v>yes, cauline with basal morphology</v>
          </cell>
        </row>
        <row r="785">
          <cell r="B785">
            <v>3590166</v>
          </cell>
          <cell r="D785" t="str">
            <v>UCSC100003138</v>
          </cell>
          <cell r="E785">
            <v>2019</v>
          </cell>
          <cell r="F785" t="str">
            <v>multiple axillary bud clusters + a few buds</v>
          </cell>
          <cell r="G785" t="str">
            <v>yes, cauline with basal morphology</v>
          </cell>
        </row>
        <row r="786">
          <cell r="B786">
            <v>4060635</v>
          </cell>
          <cell r="D786" t="str">
            <v>SBBG230712</v>
          </cell>
          <cell r="E786">
            <v>2020</v>
          </cell>
          <cell r="F786" t="str">
            <v>5 axillary buds</v>
          </cell>
          <cell r="G786" t="str">
            <v>no</v>
          </cell>
        </row>
        <row r="787">
          <cell r="B787" t="str">
            <v>NA</v>
          </cell>
          <cell r="D787" t="str">
            <v>UCSC100006703</v>
          </cell>
          <cell r="E787">
            <v>2020</v>
          </cell>
          <cell r="F787" t="str">
            <v xml:space="preserve">2+ axillary bud clusters </v>
          </cell>
          <cell r="G787" t="str">
            <v>yes, cauline with basal morphology</v>
          </cell>
        </row>
        <row r="788">
          <cell r="B788" t="str">
            <v>NA</v>
          </cell>
          <cell r="D788" t="str">
            <v>UCSC100006685</v>
          </cell>
          <cell r="E788">
            <v>2020</v>
          </cell>
          <cell r="F788" t="str">
            <v>multiple axillary bud clusters + extra sml leaves and buds</v>
          </cell>
          <cell r="G788" t="str">
            <v>yes, cauline with basal morphology</v>
          </cell>
        </row>
        <row r="789">
          <cell r="B789" t="str">
            <v>NA</v>
          </cell>
          <cell r="D789" t="str">
            <v>UCSC100006704</v>
          </cell>
          <cell r="E789">
            <v>2020</v>
          </cell>
          <cell r="F789" t="str">
            <v xml:space="preserve">2 big axillary bud clusters + a bud </v>
          </cell>
          <cell r="G789" t="str">
            <v>yes, cauline with basal morphology</v>
          </cell>
        </row>
        <row r="790">
          <cell r="B790" t="str">
            <v>NA</v>
          </cell>
          <cell r="D790" t="str">
            <v>UCSC100006681</v>
          </cell>
          <cell r="E790">
            <v>2020</v>
          </cell>
          <cell r="F790" t="str">
            <v>axillary buds +?</v>
          </cell>
          <cell r="G790" t="str">
            <v>yes, cauline with basal morphology</v>
          </cell>
        </row>
        <row r="791">
          <cell r="B791">
            <v>5549192</v>
          </cell>
          <cell r="D791" t="str">
            <v>SDSU25094</v>
          </cell>
          <cell r="E791">
            <v>2021</v>
          </cell>
          <cell r="F791" t="str">
            <v xml:space="preserve">2 big axillary bud clusters </v>
          </cell>
          <cell r="G791" t="str">
            <v>yes, cauline, intermediate morphology</v>
          </cell>
        </row>
        <row r="792">
          <cell r="B792">
            <v>5752868</v>
          </cell>
          <cell r="D792" t="str">
            <v>OBI183593</v>
          </cell>
          <cell r="E792">
            <v>2022</v>
          </cell>
          <cell r="F792" t="str">
            <v>buds w extra</v>
          </cell>
          <cell r="G792" t="str">
            <v>yes, cauline with basal morphology</v>
          </cell>
        </row>
        <row r="793">
          <cell r="B793">
            <v>5934188</v>
          </cell>
          <cell r="D793" t="str">
            <v>SD00083704</v>
          </cell>
          <cell r="E793">
            <v>2023</v>
          </cell>
          <cell r="F793" t="str">
            <v>2 terminal bud clusters</v>
          </cell>
          <cell r="G793" t="str">
            <v>yes, basal morphology (unclear if cauline bc not attached to plant)</v>
          </cell>
        </row>
        <row r="794">
          <cell r="B794">
            <v>6053255</v>
          </cell>
          <cell r="D794" t="str">
            <v>DAV245704</v>
          </cell>
          <cell r="E794">
            <v>2024</v>
          </cell>
          <cell r="F794" t="str">
            <v>2 terminal bud cluster</v>
          </cell>
          <cell r="G794" t="str">
            <v>yes, basal</v>
          </cell>
        </row>
        <row r="795">
          <cell r="B795">
            <v>6003808</v>
          </cell>
          <cell r="D795" t="str">
            <v>DAV244422</v>
          </cell>
          <cell r="E795">
            <v>2024</v>
          </cell>
          <cell r="F795" t="str">
            <v>3 axiallary bud</v>
          </cell>
          <cell r="G795" t="str">
            <v>yes, basal</v>
          </cell>
        </row>
        <row r="796">
          <cell r="B796" t="str">
            <v>NA</v>
          </cell>
          <cell r="D796">
            <v>684512</v>
          </cell>
          <cell r="E796" t="str">
            <v xml:space="preserve"> ? (1996?)</v>
          </cell>
          <cell r="F796" t="str">
            <v>4 axillary buds</v>
          </cell>
          <cell r="G796" t="str">
            <v>yes, cauline with intermediate morphology</v>
          </cell>
        </row>
        <row r="797">
          <cell r="B797" t="str">
            <v>NA</v>
          </cell>
          <cell r="D797" t="str">
            <v>FSC0010482</v>
          </cell>
          <cell r="E797" t="str">
            <v>?</v>
          </cell>
          <cell r="F797" t="str">
            <v>3 bud clusters</v>
          </cell>
          <cell r="G797" t="str">
            <v>yes, cauline, intermediate morphology</v>
          </cell>
        </row>
        <row r="798">
          <cell r="B798">
            <v>3268949</v>
          </cell>
          <cell r="D798" t="str">
            <v>UC10778</v>
          </cell>
          <cell r="E798" t="str">
            <v>1890-1891</v>
          </cell>
          <cell r="F798" t="str">
            <v>2 terminal bud clusters</v>
          </cell>
          <cell r="G798" t="str">
            <v>yes, cauline, intermediate morphology</v>
          </cell>
        </row>
        <row r="799">
          <cell r="B799">
            <v>3792177</v>
          </cell>
          <cell r="D799" t="str">
            <v>FSC0010462</v>
          </cell>
          <cell r="E799" t="str">
            <v>1965?</v>
          </cell>
          <cell r="F799" t="str">
            <v>several bud clusters</v>
          </cell>
          <cell r="G799" t="str">
            <v>yes, basal</v>
          </cell>
        </row>
        <row r="800">
          <cell r="B800">
            <v>2057748</v>
          </cell>
          <cell r="D800" t="str">
            <v>CHSC047386</v>
          </cell>
          <cell r="E800" t="str">
            <v>1982(89?)</v>
          </cell>
          <cell r="F800" t="str">
            <v>3 axiallary buds</v>
          </cell>
          <cell r="G800" t="str">
            <v>no</v>
          </cell>
        </row>
        <row r="801">
          <cell r="B801" t="str">
            <v>NA</v>
          </cell>
          <cell r="D801">
            <v>74189</v>
          </cell>
          <cell r="F801" t="str">
            <v>3 axillary buds, little leaf</v>
          </cell>
          <cell r="G801" t="str">
            <v>no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DBC2-19A8-6341-911D-0884DB4199FA}">
  <dimension ref="A1:T329"/>
  <sheetViews>
    <sheetView tabSelected="1" zoomScale="119" zoomScaleNormal="110" workbookViewId="0">
      <pane ySplit="1" topLeftCell="A289" activePane="bottomLeft" state="frozen"/>
      <selection pane="bottomLeft" activeCell="A303" sqref="A303:XFD303"/>
    </sheetView>
  </sheetViews>
  <sheetFormatPr baseColWidth="10" defaultRowHeight="16" x14ac:dyDescent="0.2"/>
  <cols>
    <col min="3" max="5" width="11" customWidth="1"/>
    <col min="6" max="6" width="31.6640625" customWidth="1"/>
    <col min="7" max="7" width="11" customWidth="1"/>
  </cols>
  <sheetData>
    <row r="1" spans="1:20" s="1" customFormat="1" x14ac:dyDescent="0.2">
      <c r="A1" s="1" t="s">
        <v>3</v>
      </c>
      <c r="B1" s="1" t="s">
        <v>4</v>
      </c>
      <c r="C1" s="1" t="s">
        <v>0</v>
      </c>
      <c r="D1" s="1" t="s">
        <v>283</v>
      </c>
      <c r="E1" s="1" t="s">
        <v>282</v>
      </c>
      <c r="F1" s="1" t="s">
        <v>57</v>
      </c>
      <c r="G1" s="1" t="s">
        <v>58</v>
      </c>
      <c r="H1" s="1" t="s">
        <v>15</v>
      </c>
      <c r="I1" s="1" t="s">
        <v>16</v>
      </c>
      <c r="J1" s="1" t="s">
        <v>87</v>
      </c>
      <c r="K1" s="1" t="s">
        <v>289</v>
      </c>
      <c r="L1" s="1" t="s">
        <v>10</v>
      </c>
      <c r="M1" s="2" t="s">
        <v>1</v>
      </c>
      <c r="N1" s="1" t="s">
        <v>2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32</v>
      </c>
      <c r="T1" s="1" t="s">
        <v>64</v>
      </c>
    </row>
    <row r="2" spans="1:20" x14ac:dyDescent="0.2">
      <c r="A2" t="s">
        <v>53</v>
      </c>
      <c r="B2" t="s">
        <v>5</v>
      </c>
      <c r="C2" s="3">
        <v>468963</v>
      </c>
      <c r="D2" s="3" t="str">
        <f>_xlfn.XLOOKUP(C2,[1]Herbarium_tissue_collected!$B:$B,[1]Herbarium_tissue_collected!$D:$D)</f>
        <v>SD00062742</v>
      </c>
      <c r="E2" s="3" t="s">
        <v>88</v>
      </c>
      <c r="F2" s="3" t="str">
        <f>_xlfn.XLOOKUP(C2,[1]Herbarium_tissue_collected!$B:$B,[1]Herbarium_tissue_collected!$F:$F)</f>
        <v>4 bud clusters and a lil leaf</v>
      </c>
      <c r="G2" s="3" t="str">
        <f>_xlfn.XLOOKUP(C2,[1]Herbarium_tissue_collected!$B:$B,[1]Herbarium_tissue_collected!$G:$G)</f>
        <v>yes, cauline</v>
      </c>
      <c r="H2" t="s">
        <v>29</v>
      </c>
      <c r="N2">
        <v>1875</v>
      </c>
    </row>
    <row r="3" spans="1:20" x14ac:dyDescent="0.2">
      <c r="A3" t="s">
        <v>53</v>
      </c>
      <c r="B3" t="s">
        <v>5</v>
      </c>
      <c r="C3">
        <v>304566</v>
      </c>
      <c r="D3" s="3" t="str">
        <f>_xlfn.XLOOKUP(C3,[1]Herbarium_tissue_collected!$B:$B,[1]Herbarium_tissue_collected!$D:$D)</f>
        <v>UCSB032030</v>
      </c>
      <c r="E3" s="3" t="s">
        <v>89</v>
      </c>
      <c r="F3" s="3" t="str">
        <f>_xlfn.XLOOKUP(C3,[1]Herbarium_tissue_collected!$B:$B,[1]Herbarium_tissue_collected!$F:$F)</f>
        <v>buds w extra</v>
      </c>
      <c r="G3" s="3" t="str">
        <f>_xlfn.XLOOKUP(C3,[1]Herbarium_tissue_collected!$B:$B,[1]Herbarium_tissue_collected!$G:$G)</f>
        <v>yes, basal</v>
      </c>
      <c r="H3" t="s">
        <v>29</v>
      </c>
      <c r="N3">
        <v>1882</v>
      </c>
    </row>
    <row r="4" spans="1:20" x14ac:dyDescent="0.2">
      <c r="A4" t="s">
        <v>53</v>
      </c>
      <c r="B4" t="s">
        <v>5</v>
      </c>
      <c r="C4" s="3">
        <v>468961</v>
      </c>
      <c r="D4" s="3" t="str">
        <f>_xlfn.XLOOKUP(C4,[1]Herbarium_tissue_collected!$B:$B,[1]Herbarium_tissue_collected!$D:$D)</f>
        <v>SD00062744</v>
      </c>
      <c r="E4" s="3" t="s">
        <v>90</v>
      </c>
      <c r="F4" s="3" t="str">
        <f>_xlfn.XLOOKUP(C4,[1]Herbarium_tissue_collected!$B:$B,[1]Herbarium_tissue_collected!$F:$F)</f>
        <v>5 axillary buds</v>
      </c>
      <c r="G4" s="3" t="str">
        <f>_xlfn.XLOOKUP(C4,[1]Herbarium_tissue_collected!$B:$B,[1]Herbarium_tissue_collected!$G:$G)</f>
        <v>yes, cauline w/ intermediate morphology</v>
      </c>
      <c r="H4" t="s">
        <v>29</v>
      </c>
      <c r="N4">
        <v>1884</v>
      </c>
    </row>
    <row r="5" spans="1:20" x14ac:dyDescent="0.2">
      <c r="A5" t="s">
        <v>53</v>
      </c>
      <c r="B5" t="s">
        <v>5</v>
      </c>
      <c r="C5" s="3">
        <v>468962</v>
      </c>
      <c r="D5" s="3" t="str">
        <f>_xlfn.XLOOKUP(C5,[1]Herbarium_tissue_collected!$B:$B,[1]Herbarium_tissue_collected!$D:$D)</f>
        <v>SD00062741</v>
      </c>
      <c r="E5" s="3" t="s">
        <v>91</v>
      </c>
      <c r="F5" s="3" t="str">
        <f>_xlfn.XLOOKUP(C5,[1]Herbarium_tissue_collected!$B:$B,[1]Herbarium_tissue_collected!$F:$F)</f>
        <v>several bud clusters and a lil leaf</v>
      </c>
      <c r="G5" s="3" t="str">
        <f>_xlfn.XLOOKUP(C5,[1]Herbarium_tissue_collected!$B:$B,[1]Herbarium_tissue_collected!$G:$G)</f>
        <v>yes, cauline</v>
      </c>
      <c r="H5" t="s">
        <v>29</v>
      </c>
      <c r="N5">
        <v>1884</v>
      </c>
    </row>
    <row r="6" spans="1:20" x14ac:dyDescent="0.2">
      <c r="A6" t="s">
        <v>53</v>
      </c>
      <c r="B6" t="s">
        <v>6</v>
      </c>
      <c r="C6">
        <v>2286213</v>
      </c>
      <c r="D6" s="3">
        <f>_xlfn.XLOOKUP(C6,[1]Herbarium_tissue_collected!$B:$B,[1]Herbarium_tissue_collected!$D:$D)</f>
        <v>74276</v>
      </c>
      <c r="E6" s="3">
        <v>74276</v>
      </c>
      <c r="F6" s="3" t="str">
        <f>_xlfn.XLOOKUP(C6,[1]Herbarium_tissue_collected!$B:$B,[1]Herbarium_tissue_collected!$F:$F)</f>
        <v xml:space="preserve">3 axillary buds, 1 terminal bud cluster, 1 little leaf </v>
      </c>
      <c r="G6" s="3" t="str">
        <f>_xlfn.XLOOKUP(C6,[1]Herbarium_tissue_collected!$B:$B,[1]Herbarium_tissue_collected!$G:$G)</f>
        <v>yes, basal</v>
      </c>
      <c r="H6" t="s">
        <v>29</v>
      </c>
      <c r="N6">
        <v>1891</v>
      </c>
    </row>
    <row r="7" spans="1:20" x14ac:dyDescent="0.2">
      <c r="A7" t="s">
        <v>53</v>
      </c>
      <c r="B7" t="s">
        <v>6</v>
      </c>
      <c r="C7">
        <v>2448284</v>
      </c>
      <c r="D7" s="3">
        <f>_xlfn.XLOOKUP(C7,[1]Herbarium_tissue_collected!$B:$B,[1]Herbarium_tissue_collected!$D:$D)</f>
        <v>74317</v>
      </c>
      <c r="E7" s="3">
        <v>74317</v>
      </c>
      <c r="F7" s="3" t="str">
        <f>_xlfn.XLOOKUP(C7,[1]Herbarium_tissue_collected!$B:$B,[1]Herbarium_tissue_collected!$F:$F)</f>
        <v xml:space="preserve">3 axillary buds, 1 terminal bud cluster, 1 little leaf </v>
      </c>
      <c r="G7" s="3" t="str">
        <f>_xlfn.XLOOKUP(C7,[1]Herbarium_tissue_collected!$B:$B,[1]Herbarium_tissue_collected!$G:$G)</f>
        <v>yes, basal</v>
      </c>
      <c r="H7" t="s">
        <v>29</v>
      </c>
      <c r="N7">
        <v>1893</v>
      </c>
    </row>
    <row r="8" spans="1:20" x14ac:dyDescent="0.2">
      <c r="A8" t="s">
        <v>53</v>
      </c>
      <c r="B8" t="s">
        <v>6</v>
      </c>
      <c r="C8">
        <v>468999</v>
      </c>
      <c r="D8" s="3" t="str">
        <f>_xlfn.XLOOKUP(C8,[1]Herbarium_tissue_collected!$B:$B,[1]Herbarium_tissue_collected!$D:$D)</f>
        <v>SD00062711</v>
      </c>
      <c r="E8" s="3" t="s">
        <v>92</v>
      </c>
      <c r="F8" s="3" t="str">
        <f>_xlfn.XLOOKUP(C8,[1]Herbarium_tissue_collected!$B:$B,[1]Herbarium_tissue_collected!$F:$F)</f>
        <v>2-3 axillary buds</v>
      </c>
      <c r="G8" s="3" t="str">
        <f>_xlfn.XLOOKUP(C8,[1]Herbarium_tissue_collected!$B:$B,[1]Herbarium_tissue_collected!$G:$G)</f>
        <v>yes, basal</v>
      </c>
      <c r="H8" t="s">
        <v>29</v>
      </c>
      <c r="N8">
        <v>1893</v>
      </c>
    </row>
    <row r="9" spans="1:20" x14ac:dyDescent="0.2">
      <c r="A9" t="s">
        <v>53</v>
      </c>
      <c r="B9" t="s">
        <v>6</v>
      </c>
      <c r="D9" s="3">
        <f>_xlfn.XLOOKUP(C9,[1]Herbarium_tissue_collected!$B:$B,[1]Herbarium_tissue_collected!$D:$D)</f>
        <v>0</v>
      </c>
      <c r="E9" s="3">
        <v>0</v>
      </c>
      <c r="F9" s="3">
        <f>_xlfn.XLOOKUP(C9,[1]Herbarium_tissue_collected!$B:$B,[1]Herbarium_tissue_collected!$F:$F)</f>
        <v>0</v>
      </c>
      <c r="G9" s="3">
        <f>_xlfn.XLOOKUP(C9,[1]Herbarium_tissue_collected!$B:$B,[1]Herbarium_tissue_collected!$G:$G)</f>
        <v>0</v>
      </c>
      <c r="H9" t="s">
        <v>29</v>
      </c>
      <c r="M9" s="4" t="s">
        <v>31</v>
      </c>
      <c r="N9">
        <v>1893</v>
      </c>
    </row>
    <row r="10" spans="1:20" x14ac:dyDescent="0.2">
      <c r="A10" t="s">
        <v>53</v>
      </c>
      <c r="B10" t="s">
        <v>6</v>
      </c>
      <c r="C10">
        <v>2342281</v>
      </c>
      <c r="D10" s="3">
        <f>_xlfn.XLOOKUP(C10,[1]Herbarium_tissue_collected!$B:$B,[1]Herbarium_tissue_collected!$D:$D)</f>
        <v>74316</v>
      </c>
      <c r="E10" s="3">
        <v>74316</v>
      </c>
      <c r="F10" s="3" t="str">
        <f>_xlfn.XLOOKUP(C10,[1]Herbarium_tissue_collected!$B:$B,[1]Herbarium_tissue_collected!$F:$F)</f>
        <v>1 axillary bud, 2 terminal bud cluster</v>
      </c>
      <c r="G10" s="3" t="str">
        <f>_xlfn.XLOOKUP(C10,[1]Herbarium_tissue_collected!$B:$B,[1]Herbarium_tissue_collected!$G:$G)</f>
        <v xml:space="preserve">yes, cauline with basal morphology </v>
      </c>
      <c r="H10" t="s">
        <v>29</v>
      </c>
      <c r="N10">
        <f>_xlfn.XLOOKUP(C10,[1]Herbarium_tissue_collected!$B:$B,[1]Herbarium_tissue_collected!$E:$E)</f>
        <v>1898</v>
      </c>
    </row>
    <row r="11" spans="1:20" s="5" customFormat="1" x14ac:dyDescent="0.2">
      <c r="A11" t="s">
        <v>53</v>
      </c>
      <c r="B11" s="5" t="s">
        <v>6</v>
      </c>
      <c r="C11" s="5">
        <v>5009796</v>
      </c>
      <c r="D11" s="3" t="str">
        <f>_xlfn.XLOOKUP(C11,[1]Herbarium_tissue_collected!$B:$B,[1]Herbarium_tissue_collected!$D:$D)</f>
        <v>US 238201</v>
      </c>
      <c r="E11" s="3" t="s">
        <v>93</v>
      </c>
      <c r="F11" s="3">
        <f>_xlfn.XLOOKUP(C11,[1]Herbarium_tissue_collected!$B:$B,[1]Herbarium_tissue_collected!$F:$F)</f>
        <v>0</v>
      </c>
      <c r="G11" s="3">
        <f>_xlfn.XLOOKUP(C11,[1]Herbarium_tissue_collected!$B:$B,[1]Herbarium_tissue_collected!$G:$G)</f>
        <v>0</v>
      </c>
      <c r="H11" s="5" t="s">
        <v>29</v>
      </c>
      <c r="N11">
        <f>_xlfn.XLOOKUP(C11,[1]Herbarium_tissue_collected!$B:$B,[1]Herbarium_tissue_collected!$E:$E)</f>
        <v>1893</v>
      </c>
      <c r="S11" s="5" t="s">
        <v>33</v>
      </c>
    </row>
    <row r="12" spans="1:20" x14ac:dyDescent="0.2">
      <c r="A12" t="s">
        <v>53</v>
      </c>
      <c r="B12" t="s">
        <v>7</v>
      </c>
      <c r="C12">
        <v>3317219</v>
      </c>
      <c r="D12" s="3" t="str">
        <f>_xlfn.XLOOKUP(C12,[1]Herbarium_tissue_collected!$B:$B,[1]Herbarium_tissue_collected!$D:$D)</f>
        <v>JEPS53816</v>
      </c>
      <c r="E12" s="3" t="s">
        <v>94</v>
      </c>
      <c r="F12" s="3" t="str">
        <f>_xlfn.XLOOKUP(C12,[1]Herbarium_tissue_collected!$B:$B,[1]Herbarium_tissue_collected!$F:$F)</f>
        <v>3 bud clusters, exra big bud</v>
      </c>
      <c r="G12" s="3" t="str">
        <f>_xlfn.XLOOKUP(C12,[1]Herbarium_tissue_collected!$B:$B,[1]Herbarium_tissue_collected!$G:$G)</f>
        <v>yes, basal</v>
      </c>
      <c r="H12" t="s">
        <v>29</v>
      </c>
      <c r="I12" t="s">
        <v>287</v>
      </c>
      <c r="N12">
        <f>_xlfn.XLOOKUP(C12,[1]Herbarium_tissue_collected!$B:$B,[1]Herbarium_tissue_collected!$E:$E)</f>
        <v>1901</v>
      </c>
    </row>
    <row r="13" spans="1:20" x14ac:dyDescent="0.2">
      <c r="A13" t="s">
        <v>53</v>
      </c>
      <c r="B13" t="s">
        <v>7</v>
      </c>
      <c r="C13">
        <v>3322372</v>
      </c>
      <c r="D13" s="3" t="str">
        <f>_xlfn.XLOOKUP(C13,[1]Herbarium_tissue_collected!$B:$B,[1]Herbarium_tissue_collected!$D:$D)</f>
        <v>UC64347</v>
      </c>
      <c r="E13" s="3" t="s">
        <v>95</v>
      </c>
      <c r="F13" s="3" t="str">
        <f>_xlfn.XLOOKUP(C13,[1]Herbarium_tissue_collected!$B:$B,[1]Herbarium_tissue_collected!$F:$F)</f>
        <v>3 bud clusters and lil leaf</v>
      </c>
      <c r="G13" s="3" t="str">
        <f>_xlfn.XLOOKUP(C13,[1]Herbarium_tissue_collected!$B:$B,[1]Herbarium_tissue_collected!$G:$G)</f>
        <v>yes, basal</v>
      </c>
      <c r="H13" t="s">
        <v>29</v>
      </c>
      <c r="I13" t="s">
        <v>287</v>
      </c>
      <c r="N13">
        <f>_xlfn.XLOOKUP(C13,[1]Herbarium_tissue_collected!$B:$B,[1]Herbarium_tissue_collected!$E:$E)</f>
        <v>1901</v>
      </c>
    </row>
    <row r="14" spans="1:20" x14ac:dyDescent="0.2">
      <c r="A14" t="s">
        <v>53</v>
      </c>
      <c r="B14" t="s">
        <v>7</v>
      </c>
      <c r="C14">
        <v>229779</v>
      </c>
      <c r="D14" s="3" t="str">
        <f>_xlfn.XLOOKUP(C14,[1]Herbarium_tissue_collected!$B:$B,[1]Herbarium_tissue_collected!$D:$D)</f>
        <v>UCSC100000692</v>
      </c>
      <c r="E14" s="3" t="s">
        <v>96</v>
      </c>
      <c r="F14" s="3" t="str">
        <f>_xlfn.XLOOKUP(C14,[1]Herbarium_tissue_collected!$B:$B,[1]Herbarium_tissue_collected!$F:$F)</f>
        <v>multiple axillary bud clusters + a few buds</v>
      </c>
      <c r="G14" s="3" t="str">
        <f>_xlfn.XLOOKUP(C14,[1]Herbarium_tissue_collected!$B:$B,[1]Herbarium_tissue_collected!$G:$G)</f>
        <v>yes, cauline, not basal morphology</v>
      </c>
      <c r="H14" t="s">
        <v>29</v>
      </c>
      <c r="N14">
        <f>_xlfn.XLOOKUP(C14,[1]Herbarium_tissue_collected!$B:$B,[1]Herbarium_tissue_collected!$E:$E)</f>
        <v>1901</v>
      </c>
    </row>
    <row r="15" spans="1:20" x14ac:dyDescent="0.2">
      <c r="A15" t="s">
        <v>53</v>
      </c>
      <c r="B15" t="s">
        <v>7</v>
      </c>
      <c r="C15">
        <v>2440540</v>
      </c>
      <c r="D15" s="3">
        <f>_xlfn.XLOOKUP(C15,[1]Herbarium_tissue_collected!$B:$B,[1]Herbarium_tissue_collected!$D:$D)</f>
        <v>74278</v>
      </c>
      <c r="E15" s="3">
        <v>74278</v>
      </c>
      <c r="F15" s="3" t="str">
        <f>_xlfn.XLOOKUP(C15,[1]Herbarium_tissue_collected!$B:$B,[1]Herbarium_tissue_collected!$F:$F)</f>
        <v>6 axillary buds</v>
      </c>
      <c r="G15" s="3" t="str">
        <f>_xlfn.XLOOKUP(C15,[1]Herbarium_tissue_collected!$B:$B,[1]Herbarium_tissue_collected!$G:$G)</f>
        <v>yes, basal</v>
      </c>
      <c r="H15" t="s">
        <v>29</v>
      </c>
      <c r="I15" t="s">
        <v>284</v>
      </c>
      <c r="K15" t="s">
        <v>292</v>
      </c>
      <c r="N15">
        <f>_xlfn.XLOOKUP(C15,[1]Herbarium_tissue_collected!$B:$B,[1]Herbarium_tissue_collected!$E:$E)</f>
        <v>1902</v>
      </c>
      <c r="S15" t="s">
        <v>35</v>
      </c>
    </row>
    <row r="16" spans="1:20" s="6" customFormat="1" x14ac:dyDescent="0.2">
      <c r="A16" s="6" t="s">
        <v>53</v>
      </c>
      <c r="B16" s="6" t="s">
        <v>7</v>
      </c>
      <c r="C16" s="6">
        <v>3382838</v>
      </c>
      <c r="D16" s="7" t="str">
        <f>_xlfn.XLOOKUP(C16,[1]Herbarium_tissue_collected!$B:$B,[1]Herbarium_tissue_collected!$D:$D)</f>
        <v>UC56903</v>
      </c>
      <c r="E16" s="7" t="s">
        <v>97</v>
      </c>
      <c r="F16" s="7" t="str">
        <f>_xlfn.XLOOKUP(C16,[1]Herbarium_tissue_collected!$B:$B,[1]Herbarium_tissue_collected!$F:$F)</f>
        <v>4 bud clusters</v>
      </c>
      <c r="G16" s="7" t="str">
        <f>_xlfn.XLOOKUP(C16,[1]Herbarium_tissue_collected!$B:$B,[1]Herbarium_tissue_collected!$G:$G)</f>
        <v>yes, basal</v>
      </c>
      <c r="H16" t="s">
        <v>29</v>
      </c>
      <c r="I16" s="6" t="s">
        <v>287</v>
      </c>
      <c r="N16" s="6">
        <f>_xlfn.XLOOKUP(C16,[1]Herbarium_tissue_collected!$B:$B,[1]Herbarium_tissue_collected!$E:$E)</f>
        <v>1902</v>
      </c>
    </row>
    <row r="17" spans="1:19" x14ac:dyDescent="0.2">
      <c r="A17" t="s">
        <v>53</v>
      </c>
      <c r="B17" t="s">
        <v>7</v>
      </c>
      <c r="C17">
        <v>3245328</v>
      </c>
      <c r="D17" s="3" t="str">
        <f>_xlfn.XLOOKUP(C17,[1]Herbarium_tissue_collected!$B:$B,[1]Herbarium_tissue_collected!$D:$D)</f>
        <v>UC117496</v>
      </c>
      <c r="E17" s="3" t="s">
        <v>98</v>
      </c>
      <c r="F17" s="3" t="str">
        <f>_xlfn.XLOOKUP(C17,[1]Herbarium_tissue_collected!$B:$B,[1]Herbarium_tissue_collected!$F:$F)</f>
        <v>1 apical bud cluster</v>
      </c>
      <c r="G17" s="3" t="str">
        <f>_xlfn.XLOOKUP(C17,[1]Herbarium_tissue_collected!$B:$B,[1]Herbarium_tissue_collected!$G:$G)</f>
        <v>yes, cauline</v>
      </c>
      <c r="H17" t="s">
        <v>29</v>
      </c>
      <c r="I17" t="s">
        <v>287</v>
      </c>
      <c r="N17">
        <f>_xlfn.XLOOKUP(C17,[1]Herbarium_tissue_collected!$B:$B,[1]Herbarium_tissue_collected!$E:$E)</f>
        <v>1902</v>
      </c>
    </row>
    <row r="18" spans="1:19" s="5" customFormat="1" x14ac:dyDescent="0.2">
      <c r="A18" t="s">
        <v>53</v>
      </c>
      <c r="B18" s="5" t="s">
        <v>7</v>
      </c>
      <c r="C18" s="5">
        <v>3212192</v>
      </c>
      <c r="D18" s="3" t="str">
        <f>_xlfn.XLOOKUP(C18,[1]Herbarium_tissue_collected!$B:$B,[1]Herbarium_tissue_collected!$D:$D)</f>
        <v>UC56738</v>
      </c>
      <c r="E18" s="3" t="s">
        <v>99</v>
      </c>
      <c r="F18" s="3" t="str">
        <f>_xlfn.XLOOKUP(C18,[1]Herbarium_tissue_collected!$B:$B,[1]Herbarium_tissue_collected!$F:$F)</f>
        <v>2 apical bud clusters</v>
      </c>
      <c r="G18" s="3" t="str">
        <f>_xlfn.XLOOKUP(C18,[1]Herbarium_tissue_collected!$B:$B,[1]Herbarium_tissue_collected!$G:$G)</f>
        <v>yes, basal</v>
      </c>
      <c r="H18" t="s">
        <v>29</v>
      </c>
      <c r="N18">
        <f>_xlfn.XLOOKUP(C18,[1]Herbarium_tissue_collected!$B:$B,[1]Herbarium_tissue_collected!$E:$E)</f>
        <v>1902</v>
      </c>
      <c r="S18" s="5" t="s">
        <v>37</v>
      </c>
    </row>
    <row r="19" spans="1:19" s="5" customFormat="1" x14ac:dyDescent="0.2">
      <c r="A19" t="s">
        <v>53</v>
      </c>
      <c r="B19" s="5" t="s">
        <v>7</v>
      </c>
      <c r="C19" s="5">
        <v>3542265</v>
      </c>
      <c r="D19" s="3" t="str">
        <f>_xlfn.XLOOKUP(C19,[1]Herbarium_tissue_collected!$B:$B,[1]Herbarium_tissue_collected!$D:$D)</f>
        <v>UC66740</v>
      </c>
      <c r="E19" s="3" t="s">
        <v>100</v>
      </c>
      <c r="F19" s="3" t="str">
        <f>_xlfn.XLOOKUP(C19,[1]Herbarium_tissue_collected!$B:$B,[1]Herbarium_tissue_collected!$F:$F)</f>
        <v>1 terminal bud cluster, 2 axiallary buds</v>
      </c>
      <c r="G19" s="3" t="str">
        <f>_xlfn.XLOOKUP(C19,[1]Herbarium_tissue_collected!$B:$B,[1]Herbarium_tissue_collected!$G:$G)</f>
        <v>yes, basal</v>
      </c>
      <c r="H19" t="s">
        <v>29</v>
      </c>
      <c r="N19">
        <f>_xlfn.XLOOKUP(C19,[1]Herbarium_tissue_collected!$B:$B,[1]Herbarium_tissue_collected!$E:$E)</f>
        <v>1904</v>
      </c>
    </row>
    <row r="20" spans="1:19" s="5" customFormat="1" x14ac:dyDescent="0.2">
      <c r="A20" t="s">
        <v>53</v>
      </c>
      <c r="B20" s="5" t="s">
        <v>7</v>
      </c>
      <c r="C20" s="5">
        <v>3400958</v>
      </c>
      <c r="D20" s="3" t="str">
        <f>_xlfn.XLOOKUP(C20,[1]Herbarium_tissue_collected!$B:$B,[1]Herbarium_tissue_collected!$D:$D)</f>
        <v>UC69195</v>
      </c>
      <c r="E20" s="3" t="s">
        <v>101</v>
      </c>
      <c r="F20" s="3" t="str">
        <f>_xlfn.XLOOKUP(C20,[1]Herbarium_tissue_collected!$B:$B,[1]Herbarium_tissue_collected!$F:$F)</f>
        <v>3 bud clusters</v>
      </c>
      <c r="G20" s="3" t="str">
        <f>_xlfn.XLOOKUP(C20,[1]Herbarium_tissue_collected!$B:$B,[1]Herbarium_tissue_collected!$G:$G)</f>
        <v>yes, cauline, intermediate morphology</v>
      </c>
      <c r="H20" t="s">
        <v>29</v>
      </c>
      <c r="N20">
        <f>_xlfn.XLOOKUP(C20,[1]Herbarium_tissue_collected!$B:$B,[1]Herbarium_tissue_collected!$E:$E)</f>
        <v>1905</v>
      </c>
    </row>
    <row r="21" spans="1:19" s="5" customFormat="1" x14ac:dyDescent="0.2">
      <c r="A21" t="s">
        <v>53</v>
      </c>
      <c r="B21" s="5" t="s">
        <v>7</v>
      </c>
      <c r="C21" s="5">
        <v>3290499</v>
      </c>
      <c r="D21" s="3" t="str">
        <f>_xlfn.XLOOKUP(C21,[1]Herbarium_tissue_collected!$B:$B,[1]Herbarium_tissue_collected!$D:$D)</f>
        <v>JEPS53817</v>
      </c>
      <c r="E21" s="3" t="s">
        <v>102</v>
      </c>
      <c r="F21" s="3" t="str">
        <f>_xlfn.XLOOKUP(C21,[1]Herbarium_tissue_collected!$B:$B,[1]Herbarium_tissue_collected!$F:$F)</f>
        <v>1 axiallary bud cluster, 2 bud clusters</v>
      </c>
      <c r="G21" s="3" t="str">
        <f>_xlfn.XLOOKUP(C21,[1]Herbarium_tissue_collected!$B:$B,[1]Herbarium_tissue_collected!$G:$G)</f>
        <v>yes, cauline, intermediate morphology</v>
      </c>
      <c r="H21" t="s">
        <v>29</v>
      </c>
      <c r="N21">
        <f>_xlfn.XLOOKUP(C21,[1]Herbarium_tissue_collected!$B:$B,[1]Herbarium_tissue_collected!$E:$E)</f>
        <v>1908</v>
      </c>
    </row>
    <row r="22" spans="1:19" x14ac:dyDescent="0.2">
      <c r="A22" t="s">
        <v>53</v>
      </c>
      <c r="B22" t="s">
        <v>8</v>
      </c>
      <c r="C22">
        <v>469011</v>
      </c>
      <c r="D22" s="3" t="str">
        <f>_xlfn.XLOOKUP(C22,[1]Herbarium_tissue_collected!$B:$B,[1]Herbarium_tissue_collected!$D:$D)</f>
        <v>SD00062802</v>
      </c>
      <c r="E22" s="3" t="s">
        <v>103</v>
      </c>
      <c r="F22" s="3" t="str">
        <f>_xlfn.XLOOKUP(C22,[1]Herbarium_tissue_collected!$B:$B,[1]Herbarium_tissue_collected!$F:$F)</f>
        <v>4 axiallary buds</v>
      </c>
      <c r="G22" s="3" t="str">
        <f>_xlfn.XLOOKUP(C22,[1]Herbarium_tissue_collected!$B:$B,[1]Herbarium_tissue_collected!$G:$G)</f>
        <v xml:space="preserve">yes, cauline with cauline morphology </v>
      </c>
      <c r="H22" t="s">
        <v>29</v>
      </c>
      <c r="N22">
        <f>_xlfn.XLOOKUP(C22,[1]Herbarium_tissue_collected!$B:$B,[1]Herbarium_tissue_collected!$E:$E)</f>
        <v>1915</v>
      </c>
    </row>
    <row r="23" spans="1:19" x14ac:dyDescent="0.2">
      <c r="A23" t="s">
        <v>53</v>
      </c>
      <c r="B23" t="s">
        <v>8</v>
      </c>
      <c r="C23">
        <v>2336537</v>
      </c>
      <c r="D23" s="3">
        <f>_xlfn.XLOOKUP(C23,[1]Herbarium_tissue_collected!$B:$B,[1]Herbarium_tissue_collected!$D:$D)</f>
        <v>74243</v>
      </c>
      <c r="E23" s="3">
        <v>74243</v>
      </c>
      <c r="F23" s="3" t="str">
        <f>_xlfn.XLOOKUP(C23,[1]Herbarium_tissue_collected!$B:$B,[1]Herbarium_tissue_collected!$F:$F)</f>
        <v>3 axillary buds, 1 terminal bud cluster</v>
      </c>
      <c r="G23" s="3" t="str">
        <f>_xlfn.XLOOKUP(C23,[1]Herbarium_tissue_collected!$B:$B,[1]Herbarium_tissue_collected!$G:$G)</f>
        <v>yes, basal, some glue on leaf</v>
      </c>
      <c r="H23" t="s">
        <v>29</v>
      </c>
      <c r="N23">
        <f>_xlfn.XLOOKUP(C23,[1]Herbarium_tissue_collected!$B:$B,[1]Herbarium_tissue_collected!$E:$E)</f>
        <v>1916</v>
      </c>
    </row>
    <row r="24" spans="1:19" x14ac:dyDescent="0.2">
      <c r="A24" t="s">
        <v>53</v>
      </c>
      <c r="B24" t="s">
        <v>9</v>
      </c>
      <c r="C24">
        <v>468984</v>
      </c>
      <c r="D24" s="3" t="str">
        <f>_xlfn.XLOOKUP(C24,[1]Herbarium_tissue_collected!$B:$B,[1]Herbarium_tissue_collected!$D:$D)</f>
        <v>SD00062713</v>
      </c>
      <c r="E24" s="3" t="s">
        <v>104</v>
      </c>
      <c r="F24" s="3" t="str">
        <f>_xlfn.XLOOKUP(C24,[1]Herbarium_tissue_collected!$B:$B,[1]Herbarium_tissue_collected!$F:$F)</f>
        <v>4 axillary buds, 2 apical bud clusters, lil leaf, extra buds</v>
      </c>
      <c r="G24" s="3" t="str">
        <f>_xlfn.XLOOKUP(C24,[1]Herbarium_tissue_collected!$B:$B,[1]Herbarium_tissue_collected!$G:$G)</f>
        <v>yes, basal</v>
      </c>
      <c r="H24" t="s">
        <v>29</v>
      </c>
      <c r="I24" t="s">
        <v>284</v>
      </c>
      <c r="K24" t="s">
        <v>291</v>
      </c>
      <c r="N24">
        <f>_xlfn.XLOOKUP(C24,[1]Herbarium_tissue_collected!$B:$B,[1]Herbarium_tissue_collected!$E:$E)</f>
        <v>1927</v>
      </c>
    </row>
    <row r="25" spans="1:19" x14ac:dyDescent="0.2">
      <c r="A25" t="s">
        <v>53</v>
      </c>
      <c r="B25" t="s">
        <v>9</v>
      </c>
      <c r="C25">
        <v>141265</v>
      </c>
      <c r="D25" s="3" t="str">
        <f>_xlfn.XLOOKUP(C25,[1]Herbarium_tissue_collected!$B:$B,[1]Herbarium_tissue_collected!$D:$D)</f>
        <v>SBBG213823</v>
      </c>
      <c r="E25" s="3" t="s">
        <v>105</v>
      </c>
      <c r="F25" s="3" t="str">
        <f>_xlfn.XLOOKUP(C25,[1]Herbarium_tissue_collected!$B:$B,[1]Herbarium_tissue_collected!$F:$F)</f>
        <v>4 axiallary buds, 1 terminal bud cluster, 1 leaf</v>
      </c>
      <c r="G25" s="3" t="str">
        <f>_xlfn.XLOOKUP(C25,[1]Herbarium_tissue_collected!$B:$B,[1]Herbarium_tissue_collected!$G:$G)</f>
        <v xml:space="preserve">yes, cauline with cauline morphology </v>
      </c>
      <c r="H25" t="s">
        <v>29</v>
      </c>
      <c r="I25" t="s">
        <v>284</v>
      </c>
      <c r="K25" t="s">
        <v>291</v>
      </c>
      <c r="N25">
        <f>_xlfn.XLOOKUP(C25,[1]Herbarium_tissue_collected!$B:$B,[1]Herbarium_tissue_collected!$E:$E)</f>
        <v>1927</v>
      </c>
    </row>
    <row r="26" spans="1:19" x14ac:dyDescent="0.2">
      <c r="A26" t="s">
        <v>53</v>
      </c>
      <c r="B26" t="s">
        <v>9</v>
      </c>
      <c r="C26">
        <v>3499442</v>
      </c>
      <c r="D26" s="3" t="str">
        <f>_xlfn.XLOOKUP(C26,[1]Herbarium_tissue_collected!$B:$B,[1]Herbarium_tissue_collected!$D:$D)</f>
        <v>JEPS53815</v>
      </c>
      <c r="E26" s="3" t="s">
        <v>106</v>
      </c>
      <c r="F26" s="3" t="str">
        <f>_xlfn.XLOOKUP(C26,[1]Herbarium_tissue_collected!$B:$B,[1]Herbarium_tissue_collected!$F:$F)</f>
        <v>7 bud clusters, little leaf</v>
      </c>
      <c r="G26" s="3" t="str">
        <f>_xlfn.XLOOKUP(C26,[1]Herbarium_tissue_collected!$B:$B,[1]Herbarium_tissue_collected!$G:$G)</f>
        <v>yes, basal</v>
      </c>
      <c r="H26" t="s">
        <v>29</v>
      </c>
      <c r="I26" t="s">
        <v>287</v>
      </c>
      <c r="N26">
        <f>_xlfn.XLOOKUP(C26,[1]Herbarium_tissue_collected!$B:$B,[1]Herbarium_tissue_collected!$E:$E)</f>
        <v>1927</v>
      </c>
    </row>
    <row r="27" spans="1:19" x14ac:dyDescent="0.2">
      <c r="A27" t="s">
        <v>53</v>
      </c>
      <c r="B27" t="s">
        <v>9</v>
      </c>
      <c r="C27">
        <v>83203</v>
      </c>
      <c r="D27" s="3" t="str">
        <f>_xlfn.XLOOKUP(C27,[1]Herbarium_tissue_collected!$B:$B,[1]Herbarium_tissue_collected!$D:$D)</f>
        <v>SBBG213838</v>
      </c>
      <c r="E27" s="3" t="s">
        <v>107</v>
      </c>
      <c r="F27" s="3" t="str">
        <f>_xlfn.XLOOKUP(C27,[1]Herbarium_tissue_collected!$B:$B,[1]Herbarium_tissue_collected!$F:$F)</f>
        <v>4 bud clusters</v>
      </c>
      <c r="G27" s="3" t="str">
        <f>_xlfn.XLOOKUP(C27,[1]Herbarium_tissue_collected!$B:$B,[1]Herbarium_tissue_collected!$G:$G)</f>
        <v>yes, cauline with basal morphology</v>
      </c>
      <c r="H27" t="s">
        <v>29</v>
      </c>
      <c r="I27" t="s">
        <v>287</v>
      </c>
      <c r="N27">
        <f>_xlfn.XLOOKUP(C27,[1]Herbarium_tissue_collected!$B:$B,[1]Herbarium_tissue_collected!$E:$E)</f>
        <v>1928</v>
      </c>
    </row>
    <row r="28" spans="1:19" x14ac:dyDescent="0.2">
      <c r="A28" t="s">
        <v>53</v>
      </c>
      <c r="B28" t="s">
        <v>9</v>
      </c>
      <c r="D28" s="3">
        <f>_xlfn.XLOOKUP(C28,[1]Herbarium_tissue_collected!$B:$B,[1]Herbarium_tissue_collected!$D:$D)</f>
        <v>0</v>
      </c>
      <c r="E28" s="3">
        <v>0</v>
      </c>
      <c r="F28" s="3">
        <f>_xlfn.XLOOKUP(C28,[1]Herbarium_tissue_collected!$B:$B,[1]Herbarium_tissue_collected!$F:$F)</f>
        <v>0</v>
      </c>
      <c r="G28" s="3">
        <f>_xlfn.XLOOKUP(C28,[1]Herbarium_tissue_collected!$B:$B,[1]Herbarium_tissue_collected!$G:$G)</f>
        <v>0</v>
      </c>
      <c r="H28" t="s">
        <v>29</v>
      </c>
      <c r="N28">
        <f>_xlfn.XLOOKUP(C28,[1]Herbarium_tissue_collected!$B:$B,[1]Herbarium_tissue_collected!$E:$E)</f>
        <v>0</v>
      </c>
    </row>
    <row r="29" spans="1:19" x14ac:dyDescent="0.2">
      <c r="A29" t="s">
        <v>53</v>
      </c>
      <c r="B29" t="s">
        <v>17</v>
      </c>
      <c r="C29">
        <v>1368057</v>
      </c>
      <c r="D29" s="3" t="str">
        <f>_xlfn.XLOOKUP(C29,[1]Herbarium_tissue_collected!$B:$B,[1]Herbarium_tissue_collected!$D:$D)</f>
        <v>DAV310399</v>
      </c>
      <c r="E29" s="3" t="s">
        <v>108</v>
      </c>
      <c r="F29" s="3" t="str">
        <f>_xlfn.XLOOKUP(C29,[1]Herbarium_tissue_collected!$B:$B,[1]Herbarium_tissue_collected!$F:$F)</f>
        <v>3 terminal  bud clusters</v>
      </c>
      <c r="G29" s="3" t="str">
        <f>_xlfn.XLOOKUP(C29,[1]Herbarium_tissue_collected!$B:$B,[1]Herbarium_tissue_collected!$G:$G)</f>
        <v>no</v>
      </c>
      <c r="H29" t="s">
        <v>29</v>
      </c>
      <c r="N29">
        <f>_xlfn.XLOOKUP(C29,[1]Herbarium_tissue_collected!$B:$B,[1]Herbarium_tissue_collected!$E:$E)</f>
        <v>1930</v>
      </c>
      <c r="S29" t="s">
        <v>51</v>
      </c>
    </row>
    <row r="30" spans="1:19" s="6" customFormat="1" x14ac:dyDescent="0.2">
      <c r="A30" s="6" t="s">
        <v>53</v>
      </c>
      <c r="B30" s="6" t="s">
        <v>17</v>
      </c>
      <c r="C30" s="6">
        <v>469005</v>
      </c>
      <c r="D30" s="7" t="str">
        <f>_xlfn.XLOOKUP(C30,[1]Herbarium_tissue_collected!$B:$B,[1]Herbarium_tissue_collected!$D:$D)</f>
        <v>SD00062739</v>
      </c>
      <c r="E30" s="7" t="s">
        <v>109</v>
      </c>
      <c r="F30" s="7" t="str">
        <f>_xlfn.XLOOKUP(C30,[1]Herbarium_tissue_collected!$B:$B,[1]Herbarium_tissue_collected!$F:$F)</f>
        <v>one apical bud cluster</v>
      </c>
      <c r="G30" s="7" t="str">
        <f>_xlfn.XLOOKUP(C30,[1]Herbarium_tissue_collected!$B:$B,[1]Herbarium_tissue_collected!$G:$G)</f>
        <v>no</v>
      </c>
      <c r="H30" t="s">
        <v>29</v>
      </c>
      <c r="N30" s="6">
        <f>_xlfn.XLOOKUP(C30,[1]Herbarium_tissue_collected!$B:$B,[1]Herbarium_tissue_collected!$E:$E)</f>
        <v>1930</v>
      </c>
      <c r="S30" s="6" t="s">
        <v>51</v>
      </c>
    </row>
    <row r="31" spans="1:19" x14ac:dyDescent="0.2">
      <c r="A31" t="s">
        <v>53</v>
      </c>
      <c r="B31" t="s">
        <v>17</v>
      </c>
      <c r="C31">
        <v>468988</v>
      </c>
      <c r="D31" s="3" t="str">
        <f>_xlfn.XLOOKUP(C31,[1]Herbarium_tissue_collected!$B:$B,[1]Herbarium_tissue_collected!$D:$D)</f>
        <v>SD00062800</v>
      </c>
      <c r="E31" s="3" t="s">
        <v>110</v>
      </c>
      <c r="F31" s="3" t="str">
        <f>_xlfn.XLOOKUP(C31,[1]Herbarium_tissue_collected!$B:$B,[1]Herbarium_tissue_collected!$F:$F)</f>
        <v>4 axiallary buds, small leaves</v>
      </c>
      <c r="G31" s="3" t="str">
        <f>_xlfn.XLOOKUP(C31,[1]Herbarium_tissue_collected!$B:$B,[1]Herbarium_tissue_collected!$G:$G)</f>
        <v>yes, cauline with basal morphology</v>
      </c>
      <c r="H31" t="s">
        <v>29</v>
      </c>
      <c r="I31" t="s">
        <v>284</v>
      </c>
      <c r="K31" t="s">
        <v>29</v>
      </c>
      <c r="N31">
        <f>_xlfn.XLOOKUP(C31,[1]Herbarium_tissue_collected!$B:$B,[1]Herbarium_tissue_collected!$E:$E)</f>
        <v>1931</v>
      </c>
      <c r="S31" t="s">
        <v>52</v>
      </c>
    </row>
    <row r="32" spans="1:19" x14ac:dyDescent="0.2">
      <c r="A32" t="s">
        <v>53</v>
      </c>
      <c r="B32" t="s">
        <v>17</v>
      </c>
      <c r="C32">
        <v>468995</v>
      </c>
      <c r="D32" s="3" t="str">
        <f>_xlfn.XLOOKUP(C32,[1]Herbarium_tissue_collected!$B:$B,[1]Herbarium_tissue_collected!$D:$D)</f>
        <v>SD00062714</v>
      </c>
      <c r="E32" s="3" t="s">
        <v>111</v>
      </c>
      <c r="F32" s="3" t="str">
        <f>_xlfn.XLOOKUP(C32,[1]Herbarium_tissue_collected!$B:$B,[1]Herbarium_tissue_collected!$F:$F)</f>
        <v>6 axillary buds, 1 big multibud cluster with glue</v>
      </c>
      <c r="G32" s="3" t="str">
        <f>_xlfn.XLOOKUP(C32,[1]Herbarium_tissue_collected!$B:$B,[1]Herbarium_tissue_collected!$G:$G)</f>
        <v>yes, cauline with basal morphology</v>
      </c>
      <c r="H32" t="s">
        <v>29</v>
      </c>
      <c r="I32" t="s">
        <v>284</v>
      </c>
      <c r="K32" t="s">
        <v>29</v>
      </c>
      <c r="N32">
        <f>_xlfn.XLOOKUP(C32,[1]Herbarium_tissue_collected!$B:$B,[1]Herbarium_tissue_collected!$E:$E)</f>
        <v>1932</v>
      </c>
      <c r="S32" t="s">
        <v>51</v>
      </c>
    </row>
    <row r="33" spans="1:19" x14ac:dyDescent="0.2">
      <c r="A33" t="s">
        <v>53</v>
      </c>
      <c r="B33" t="s">
        <v>17</v>
      </c>
      <c r="C33">
        <v>468990</v>
      </c>
      <c r="D33" s="3" t="str">
        <f>_xlfn.XLOOKUP(C33,[1]Herbarium_tissue_collected!$B:$B,[1]Herbarium_tissue_collected!$D:$D)</f>
        <v>SD00062715</v>
      </c>
      <c r="E33" s="3" t="s">
        <v>112</v>
      </c>
      <c r="F33" s="3" t="str">
        <f>_xlfn.XLOOKUP(C33,[1]Herbarium_tissue_collected!$B:$B,[1]Herbarium_tissue_collected!$F:$F)</f>
        <v>2-3 axillary buds</v>
      </c>
      <c r="G33" s="3" t="str">
        <f>_xlfn.XLOOKUP(C33,[1]Herbarium_tissue_collected!$B:$B,[1]Herbarium_tissue_collected!$G:$G)</f>
        <v>yes, basal</v>
      </c>
      <c r="H33" t="s">
        <v>29</v>
      </c>
      <c r="I33" t="s">
        <v>284</v>
      </c>
      <c r="N33">
        <f>_xlfn.XLOOKUP(C33,[1]Herbarium_tissue_collected!$B:$B,[1]Herbarium_tissue_collected!$E:$E)</f>
        <v>1934</v>
      </c>
      <c r="S33" t="s">
        <v>51</v>
      </c>
    </row>
    <row r="34" spans="1:19" s="6" customFormat="1" x14ac:dyDescent="0.2">
      <c r="A34" s="6" t="s">
        <v>53</v>
      </c>
      <c r="B34" s="6" t="s">
        <v>17</v>
      </c>
      <c r="C34" s="6">
        <v>469026</v>
      </c>
      <c r="D34" s="7" t="str">
        <f>_xlfn.XLOOKUP(C34,[1]Herbarium_tissue_collected!$B:$B,[1]Herbarium_tissue_collected!$D:$D)</f>
        <v>SD00062737</v>
      </c>
      <c r="E34" s="7" t="s">
        <v>113</v>
      </c>
      <c r="F34" s="7" t="str">
        <f>_xlfn.XLOOKUP(C34,[1]Herbarium_tissue_collected!$B:$B,[1]Herbarium_tissue_collected!$F:$F)</f>
        <v>5 axillary buds</v>
      </c>
      <c r="G34" s="7" t="str">
        <f>_xlfn.XLOOKUP(C34,[1]Herbarium_tissue_collected!$B:$B,[1]Herbarium_tissue_collected!$G:$G)</f>
        <v>yes, cauline w/ intermediate morphology</v>
      </c>
      <c r="H34" t="s">
        <v>29</v>
      </c>
      <c r="N34" s="6">
        <f>_xlfn.XLOOKUP(C34,[1]Herbarium_tissue_collected!$B:$B,[1]Herbarium_tissue_collected!$E:$E)</f>
        <v>1935</v>
      </c>
      <c r="S34" s="6" t="s">
        <v>51</v>
      </c>
    </row>
    <row r="35" spans="1:19" x14ac:dyDescent="0.2">
      <c r="A35" t="s">
        <v>53</v>
      </c>
      <c r="B35" t="s">
        <v>17</v>
      </c>
      <c r="C35">
        <v>468992</v>
      </c>
      <c r="D35" s="3" t="str">
        <f>_xlfn.XLOOKUP(C35,[1]Herbarium_tissue_collected!$B:$B,[1]Herbarium_tissue_collected!$D:$D)</f>
        <v>SD00062717</v>
      </c>
      <c r="E35" s="3" t="s">
        <v>114</v>
      </c>
      <c r="F35" s="3" t="str">
        <f>_xlfn.XLOOKUP(C35,[1]Herbarium_tissue_collected!$B:$B,[1]Herbarium_tissue_collected!$F:$F)</f>
        <v>3 axillary buds, 3 terminal bud cluster</v>
      </c>
      <c r="G35" s="3" t="str">
        <f>_xlfn.XLOOKUP(C35,[1]Herbarium_tissue_collected!$B:$B,[1]Herbarium_tissue_collected!$G:$G)</f>
        <v>yes, cauline w/ intermediate morphology</v>
      </c>
      <c r="H35" t="s">
        <v>29</v>
      </c>
      <c r="N35">
        <f>_xlfn.XLOOKUP(C35,[1]Herbarium_tissue_collected!$B:$B,[1]Herbarium_tissue_collected!$E:$E)</f>
        <v>1935</v>
      </c>
      <c r="S35" t="s">
        <v>51</v>
      </c>
    </row>
    <row r="36" spans="1:19" x14ac:dyDescent="0.2">
      <c r="A36" t="s">
        <v>53</v>
      </c>
      <c r="B36" t="s">
        <v>17</v>
      </c>
      <c r="C36">
        <v>468972</v>
      </c>
      <c r="D36" s="3" t="str">
        <f>_xlfn.XLOOKUP(C36,[1]Herbarium_tissue_collected!$B:$B,[1]Herbarium_tissue_collected!$D:$D)</f>
        <v>SD00062564</v>
      </c>
      <c r="E36" s="3" t="s">
        <v>115</v>
      </c>
      <c r="F36" s="3" t="str">
        <f>_xlfn.XLOOKUP(C36,[1]Herbarium_tissue_collected!$B:$B,[1]Herbarium_tissue_collected!$F:$F)</f>
        <v>1 axiallary bud, 2 floral bud clusters, small leaf</v>
      </c>
      <c r="G36" s="3" t="str">
        <f>_xlfn.XLOOKUP(C36,[1]Herbarium_tissue_collected!$B:$B,[1]Herbarium_tissue_collected!$G:$G)</f>
        <v>yes, basal</v>
      </c>
      <c r="H36" t="s">
        <v>29</v>
      </c>
      <c r="I36" t="s">
        <v>288</v>
      </c>
      <c r="K36" t="s">
        <v>292</v>
      </c>
      <c r="N36">
        <f>_xlfn.XLOOKUP(C36,[1]Herbarium_tissue_collected!$B:$B,[1]Herbarium_tissue_collected!$E:$E)</f>
        <v>1936</v>
      </c>
      <c r="S36" t="s">
        <v>51</v>
      </c>
    </row>
    <row r="37" spans="1:19" s="6" customFormat="1" x14ac:dyDescent="0.2">
      <c r="A37" s="6" t="s">
        <v>53</v>
      </c>
      <c r="B37" s="6" t="s">
        <v>17</v>
      </c>
      <c r="C37" s="6">
        <v>468975</v>
      </c>
      <c r="D37" s="7" t="str">
        <f>_xlfn.XLOOKUP(C37,[1]Herbarium_tissue_collected!$B:$B,[1]Herbarium_tissue_collected!$D:$D)</f>
        <v>SD00062674</v>
      </c>
      <c r="E37" s="7" t="s">
        <v>116</v>
      </c>
      <c r="F37" s="7" t="str">
        <f>_xlfn.XLOOKUP(C37,[1]Herbarium_tissue_collected!$B:$B,[1]Herbarium_tissue_collected!$F:$F)</f>
        <v>4 axiallary buds</v>
      </c>
      <c r="G37" s="7" t="str">
        <f>_xlfn.XLOOKUP(C37,[1]Herbarium_tissue_collected!$B:$B,[1]Herbarium_tissue_collected!$G:$G)</f>
        <v>yes, basal</v>
      </c>
      <c r="H37" t="s">
        <v>29</v>
      </c>
      <c r="I37" t="s">
        <v>284</v>
      </c>
      <c r="N37" s="6">
        <f>_xlfn.XLOOKUP(C37,[1]Herbarium_tissue_collected!$B:$B,[1]Herbarium_tissue_collected!$E:$E)</f>
        <v>1936</v>
      </c>
      <c r="S37" s="6" t="s">
        <v>51</v>
      </c>
    </row>
    <row r="38" spans="1:19" s="6" customFormat="1" x14ac:dyDescent="0.2">
      <c r="A38" s="6" t="s">
        <v>53</v>
      </c>
      <c r="B38" s="6" t="s">
        <v>17</v>
      </c>
      <c r="C38" s="6">
        <v>468974</v>
      </c>
      <c r="D38" s="7" t="str">
        <f>_xlfn.XLOOKUP(C38,[1]Herbarium_tissue_collected!$B:$B,[1]Herbarium_tissue_collected!$D:$D)</f>
        <v>SD00062679</v>
      </c>
      <c r="E38" s="7" t="s">
        <v>117</v>
      </c>
      <c r="F38" s="7" t="str">
        <f>_xlfn.XLOOKUP(C38,[1]Herbarium_tissue_collected!$B:$B,[1]Herbarium_tissue_collected!$F:$F)</f>
        <v>2 bud clusters</v>
      </c>
      <c r="G38" s="7" t="str">
        <f>_xlfn.XLOOKUP(C38,[1]Herbarium_tissue_collected!$B:$B,[1]Herbarium_tissue_collected!$G:$G)</f>
        <v>yes, basal</v>
      </c>
      <c r="H38" t="s">
        <v>29</v>
      </c>
      <c r="I38" s="6" t="s">
        <v>284</v>
      </c>
      <c r="K38" s="6" t="s">
        <v>292</v>
      </c>
      <c r="N38" s="6">
        <f>_xlfn.XLOOKUP(C38,[1]Herbarium_tissue_collected!$B:$B,[1]Herbarium_tissue_collected!$E:$E)</f>
        <v>1936</v>
      </c>
      <c r="S38" s="6" t="s">
        <v>51</v>
      </c>
    </row>
    <row r="39" spans="1:19" s="6" customFormat="1" x14ac:dyDescent="0.2">
      <c r="A39" s="6" t="s">
        <v>53</v>
      </c>
      <c r="B39" s="6" t="s">
        <v>17</v>
      </c>
      <c r="C39" s="6">
        <v>468973</v>
      </c>
      <c r="D39" s="7" t="str">
        <f>_xlfn.XLOOKUP(C39,[1]Herbarium_tissue_collected!$B:$B,[1]Herbarium_tissue_collected!$D:$D)</f>
        <v>SD00062553</v>
      </c>
      <c r="E39" s="7" t="s">
        <v>118</v>
      </c>
      <c r="F39" s="7" t="str">
        <f>_xlfn.XLOOKUP(C39,[1]Herbarium_tissue_collected!$B:$B,[1]Herbarium_tissue_collected!$F:$F)</f>
        <v>4 axillary buds</v>
      </c>
      <c r="G39" s="7" t="str">
        <f>_xlfn.XLOOKUP(C39,[1]Herbarium_tissue_collected!$B:$B,[1]Herbarium_tissue_collected!$G:$G)</f>
        <v>yes, cauline with basal morphology</v>
      </c>
      <c r="H39" t="s">
        <v>29</v>
      </c>
      <c r="N39" s="6">
        <f>_xlfn.XLOOKUP(C39,[1]Herbarium_tissue_collected!$B:$B,[1]Herbarium_tissue_collected!$E:$E)</f>
        <v>1936</v>
      </c>
      <c r="S39" s="6" t="s">
        <v>51</v>
      </c>
    </row>
    <row r="40" spans="1:19" s="6" customFormat="1" x14ac:dyDescent="0.2">
      <c r="A40" s="6" t="s">
        <v>53</v>
      </c>
      <c r="B40" s="6" t="s">
        <v>17</v>
      </c>
      <c r="C40" s="6">
        <v>468966</v>
      </c>
      <c r="D40" s="7" t="str">
        <f>_xlfn.XLOOKUP(C40,[1]Herbarium_tissue_collected!$B:$B,[1]Herbarium_tissue_collected!$D:$D)</f>
        <v>SD00062754</v>
      </c>
      <c r="E40" s="7" t="s">
        <v>119</v>
      </c>
      <c r="F40" s="7" t="str">
        <f>_xlfn.XLOOKUP(C40,[1]Herbarium_tissue_collected!$B:$B,[1]Herbarium_tissue_collected!$F:$F)</f>
        <v>4 axiallary buds</v>
      </c>
      <c r="G40" s="7" t="str">
        <f>_xlfn.XLOOKUP(C40,[1]Herbarium_tissue_collected!$B:$B,[1]Herbarium_tissue_collected!$G:$G)</f>
        <v>yes, basal</v>
      </c>
      <c r="H40" t="s">
        <v>29</v>
      </c>
      <c r="I40" s="6" t="s">
        <v>287</v>
      </c>
      <c r="N40" s="6">
        <f>_xlfn.XLOOKUP(C40,[1]Herbarium_tissue_collected!$B:$B,[1]Herbarium_tissue_collected!$E:$E)</f>
        <v>1936</v>
      </c>
      <c r="S40" s="6" t="s">
        <v>51</v>
      </c>
    </row>
    <row r="41" spans="1:19" s="6" customFormat="1" x14ac:dyDescent="0.2">
      <c r="A41" s="6" t="s">
        <v>53</v>
      </c>
      <c r="B41" s="6" t="s">
        <v>17</v>
      </c>
      <c r="C41" s="6">
        <v>468979</v>
      </c>
      <c r="D41" s="7" t="str">
        <f>_xlfn.XLOOKUP(C41,[1]Herbarium_tissue_collected!$B:$B,[1]Herbarium_tissue_collected!$D:$D)</f>
        <v>SD00061956</v>
      </c>
      <c r="E41" s="7" t="s">
        <v>120</v>
      </c>
      <c r="F41" s="7" t="str">
        <f>_xlfn.XLOOKUP(C41,[1]Herbarium_tissue_collected!$B:$B,[1]Herbarium_tissue_collected!$F:$F)</f>
        <v>3-4 axillary buds, 1 terminal bud cluster</v>
      </c>
      <c r="G41" s="7" t="str">
        <f>_xlfn.XLOOKUP(C41,[1]Herbarium_tissue_collected!$B:$B,[1]Herbarium_tissue_collected!$G:$G)</f>
        <v>yes, basal</v>
      </c>
      <c r="H41" t="s">
        <v>29</v>
      </c>
      <c r="I41" s="6" t="s">
        <v>284</v>
      </c>
      <c r="K41" s="6" t="s">
        <v>293</v>
      </c>
      <c r="N41" s="6">
        <f>_xlfn.XLOOKUP(C41,[1]Herbarium_tissue_collected!$B:$B,[1]Herbarium_tissue_collected!$E:$E)</f>
        <v>1937</v>
      </c>
      <c r="S41" s="6" t="s">
        <v>51</v>
      </c>
    </row>
    <row r="42" spans="1:19" s="6" customFormat="1" x14ac:dyDescent="0.2">
      <c r="A42" s="6" t="s">
        <v>53</v>
      </c>
      <c r="B42" s="6" t="s">
        <v>17</v>
      </c>
      <c r="C42" s="6">
        <v>468980</v>
      </c>
      <c r="D42" s="7" t="str">
        <f>_xlfn.XLOOKUP(C42,[1]Herbarium_tissue_collected!$B:$B,[1]Herbarium_tissue_collected!$D:$D)</f>
        <v>SD00062677</v>
      </c>
      <c r="E42" s="7" t="s">
        <v>121</v>
      </c>
      <c r="F42" s="7" t="str">
        <f>_xlfn.XLOOKUP(C42,[1]Herbarium_tissue_collected!$B:$B,[1]Herbarium_tissue_collected!$F:$F)</f>
        <v>4 axiallary buds</v>
      </c>
      <c r="G42" s="7" t="str">
        <f>_xlfn.XLOOKUP(C42,[1]Herbarium_tissue_collected!$B:$B,[1]Herbarium_tissue_collected!$G:$G)</f>
        <v>yes, cauline w/ intermediate morphology</v>
      </c>
      <c r="H42" t="s">
        <v>29</v>
      </c>
      <c r="I42" t="s">
        <v>284</v>
      </c>
      <c r="N42" s="6">
        <f>_xlfn.XLOOKUP(C42,[1]Herbarium_tissue_collected!$B:$B,[1]Herbarium_tissue_collected!$E:$E)</f>
        <v>1937</v>
      </c>
      <c r="S42" s="6" t="s">
        <v>51</v>
      </c>
    </row>
    <row r="43" spans="1:19" x14ac:dyDescent="0.2">
      <c r="A43" t="s">
        <v>53</v>
      </c>
      <c r="B43" t="s">
        <v>17</v>
      </c>
      <c r="C43">
        <v>468982</v>
      </c>
      <c r="D43" s="3" t="str">
        <f>_xlfn.XLOOKUP(C43,[1]Herbarium_tissue_collected!$B:$B,[1]Herbarium_tissue_collected!$D:$D)</f>
        <v>SD00062675</v>
      </c>
      <c r="E43" s="3" t="s">
        <v>122</v>
      </c>
      <c r="F43" s="3" t="str">
        <f>_xlfn.XLOOKUP(C43,[1]Herbarium_tissue_collected!$B:$B,[1]Herbarium_tissue_collected!$F:$F)</f>
        <v>3 axillary bud, 1 little leaf</v>
      </c>
      <c r="G43" s="3" t="str">
        <f>_xlfn.XLOOKUP(C43,[1]Herbarium_tissue_collected!$B:$B,[1]Herbarium_tissue_collected!$G:$G)</f>
        <v>yes, cauline with basal morphology</v>
      </c>
      <c r="H43" t="s">
        <v>29</v>
      </c>
      <c r="I43" t="s">
        <v>288</v>
      </c>
      <c r="N43">
        <f>_xlfn.XLOOKUP(C43,[1]Herbarium_tissue_collected!$B:$B,[1]Herbarium_tissue_collected!$E:$E)</f>
        <v>1937</v>
      </c>
      <c r="S43" t="s">
        <v>51</v>
      </c>
    </row>
    <row r="44" spans="1:19" x14ac:dyDescent="0.2">
      <c r="A44" t="s">
        <v>53</v>
      </c>
      <c r="B44" t="s">
        <v>17</v>
      </c>
      <c r="C44">
        <v>468983</v>
      </c>
      <c r="D44" s="3" t="str">
        <f>_xlfn.XLOOKUP(C44,[1]Herbarium_tissue_collected!$B:$B,[1]Herbarium_tissue_collected!$D:$D)</f>
        <v>SD00062670</v>
      </c>
      <c r="E44" s="3" t="s">
        <v>123</v>
      </c>
      <c r="F44" s="3" t="str">
        <f>_xlfn.XLOOKUP(C44,[1]Herbarium_tissue_collected!$B:$B,[1]Herbarium_tissue_collected!$F:$F)</f>
        <v>4 axiallary buds</v>
      </c>
      <c r="G44" s="3" t="str">
        <f>_xlfn.XLOOKUP(C44,[1]Herbarium_tissue_collected!$B:$B,[1]Herbarium_tissue_collected!$G:$G)</f>
        <v>yes, basal</v>
      </c>
      <c r="H44" t="s">
        <v>29</v>
      </c>
      <c r="I44" t="s">
        <v>287</v>
      </c>
      <c r="N44">
        <f>_xlfn.XLOOKUP(C44,[1]Herbarium_tissue_collected!$B:$B,[1]Herbarium_tissue_collected!$E:$E)</f>
        <v>1938</v>
      </c>
      <c r="S44" t="s">
        <v>51</v>
      </c>
    </row>
    <row r="45" spans="1:19" s="6" customFormat="1" x14ac:dyDescent="0.2">
      <c r="A45" s="6" t="s">
        <v>53</v>
      </c>
      <c r="B45" s="6" t="s">
        <v>18</v>
      </c>
      <c r="C45" s="6">
        <v>468985</v>
      </c>
      <c r="D45" s="7" t="str">
        <f>_xlfn.XLOOKUP(C45,[1]Herbarium_tissue_collected!$B:$B,[1]Herbarium_tissue_collected!$D:$D)</f>
        <v>SD00062743</v>
      </c>
      <c r="E45" s="7" t="s">
        <v>124</v>
      </c>
      <c r="F45" s="7" t="str">
        <f>_xlfn.XLOOKUP(C45,[1]Herbarium_tissue_collected!$B:$B,[1]Herbarium_tissue_collected!$F:$F)</f>
        <v>3 axillary bud clusters and a lil leaf</v>
      </c>
      <c r="G45" s="7" t="str">
        <f>_xlfn.XLOOKUP(C45,[1]Herbarium_tissue_collected!$B:$B,[1]Herbarium_tissue_collected!$G:$G)</f>
        <v>yes, basal</v>
      </c>
      <c r="H45" t="s">
        <v>29</v>
      </c>
      <c r="I45" t="s">
        <v>284</v>
      </c>
      <c r="N45" s="6">
        <f>_xlfn.XLOOKUP(C45,[1]Herbarium_tissue_collected!$B:$B,[1]Herbarium_tissue_collected!$E:$E)</f>
        <v>1940</v>
      </c>
      <c r="S45" s="6" t="s">
        <v>51</v>
      </c>
    </row>
    <row r="46" spans="1:19" x14ac:dyDescent="0.2">
      <c r="A46" t="s">
        <v>53</v>
      </c>
      <c r="B46" t="s">
        <v>18</v>
      </c>
      <c r="C46">
        <v>468986</v>
      </c>
      <c r="D46" s="3" t="str">
        <f>_xlfn.XLOOKUP(C46,[1]Herbarium_tissue_collected!$B:$B,[1]Herbarium_tissue_collected!$D:$D)</f>
        <v>SD00062669</v>
      </c>
      <c r="E46" s="3" t="s">
        <v>125</v>
      </c>
      <c r="F46" s="3" t="str">
        <f>_xlfn.XLOOKUP(C46,[1]Herbarium_tissue_collected!$B:$B,[1]Herbarium_tissue_collected!$F:$F)</f>
        <v>2 apical bud clusters</v>
      </c>
      <c r="G46" s="3" t="str">
        <f>_xlfn.XLOOKUP(C46,[1]Herbarium_tissue_collected!$B:$B,[1]Herbarium_tissue_collected!$G:$G)</f>
        <v>yes, cauline with basal morphology</v>
      </c>
      <c r="H46" t="s">
        <v>29</v>
      </c>
      <c r="I46" t="s">
        <v>288</v>
      </c>
      <c r="N46">
        <f>_xlfn.XLOOKUP(C46,[1]Herbarium_tissue_collected!$B:$B,[1]Herbarium_tissue_collected!$E:$E)</f>
        <v>1940</v>
      </c>
      <c r="S46" t="s">
        <v>51</v>
      </c>
    </row>
    <row r="47" spans="1:19" x14ac:dyDescent="0.2">
      <c r="A47" t="s">
        <v>53</v>
      </c>
      <c r="B47" t="s">
        <v>18</v>
      </c>
      <c r="C47">
        <v>468987</v>
      </c>
      <c r="D47" s="3" t="str">
        <f>_xlfn.XLOOKUP(C47,[1]Herbarium_tissue_collected!$B:$B,[1]Herbarium_tissue_collected!$D:$D)</f>
        <v>SD00062668</v>
      </c>
      <c r="E47" s="3" t="s">
        <v>126</v>
      </c>
      <c r="F47" s="3" t="str">
        <f>_xlfn.XLOOKUP(C47,[1]Herbarium_tissue_collected!$B:$B,[1]Herbarium_tissue_collected!$F:$F)</f>
        <v>4 axiallary buds</v>
      </c>
      <c r="G47" s="3" t="str">
        <f>_xlfn.XLOOKUP(C47,[1]Herbarium_tissue_collected!$B:$B,[1]Herbarium_tissue_collected!$G:$G)</f>
        <v>yes, cauline</v>
      </c>
      <c r="H47" t="s">
        <v>29</v>
      </c>
      <c r="I47" t="s">
        <v>287</v>
      </c>
      <c r="N47">
        <f>_xlfn.XLOOKUP(C47,[1]Herbarium_tissue_collected!$B:$B,[1]Herbarium_tissue_collected!$E:$E)</f>
        <v>1940</v>
      </c>
      <c r="S47" t="s">
        <v>51</v>
      </c>
    </row>
    <row r="48" spans="1:19" x14ac:dyDescent="0.2">
      <c r="A48" t="s">
        <v>53</v>
      </c>
      <c r="B48" t="s">
        <v>18</v>
      </c>
      <c r="C48">
        <v>469010</v>
      </c>
      <c r="D48" s="3" t="str">
        <f>_xlfn.XLOOKUP(C48,[1]Herbarium_tissue_collected!$B:$B,[1]Herbarium_tissue_collected!$D:$D)</f>
        <v>SD00062563</v>
      </c>
      <c r="E48" s="3" t="s">
        <v>127</v>
      </c>
      <c r="F48" s="3" t="str">
        <f>_xlfn.XLOOKUP(C48,[1]Herbarium_tissue_collected!$B:$B,[1]Herbarium_tissue_collected!$F:$F)</f>
        <v>several axiallary buds and small leaves</v>
      </c>
      <c r="G48" s="3" t="str">
        <f>_xlfn.XLOOKUP(C48,[1]Herbarium_tissue_collected!$B:$B,[1]Herbarium_tissue_collected!$G:$G)</f>
        <v xml:space="preserve">yes, basal morphology </v>
      </c>
      <c r="H48" t="s">
        <v>29</v>
      </c>
      <c r="I48" t="s">
        <v>287</v>
      </c>
      <c r="N48">
        <f>_xlfn.XLOOKUP(C48,[1]Herbarium_tissue_collected!$B:$B,[1]Herbarium_tissue_collected!$E:$E)</f>
        <v>1941</v>
      </c>
      <c r="S48" t="s">
        <v>51</v>
      </c>
    </row>
    <row r="49" spans="1:19" x14ac:dyDescent="0.2">
      <c r="A49" t="s">
        <v>53</v>
      </c>
      <c r="B49" t="s">
        <v>18</v>
      </c>
      <c r="C49">
        <v>469012</v>
      </c>
      <c r="D49" s="3" t="str">
        <f>_xlfn.XLOOKUP(C49,[1]Herbarium_tissue_collected!$B:$B,[1]Herbarium_tissue_collected!$D:$D)</f>
        <v>SD00062667</v>
      </c>
      <c r="E49" s="3" t="s">
        <v>128</v>
      </c>
      <c r="F49" s="3" t="str">
        <f>_xlfn.XLOOKUP(C49,[1]Herbarium_tissue_collected!$B:$B,[1]Herbarium_tissue_collected!$F:$F)</f>
        <v>3 bud clusters</v>
      </c>
      <c r="G49" s="3" t="str">
        <f>_xlfn.XLOOKUP(C49,[1]Herbarium_tissue_collected!$B:$B,[1]Herbarium_tissue_collected!$G:$G)</f>
        <v>yes, cauline with basal morphology</v>
      </c>
      <c r="H49" t="s">
        <v>29</v>
      </c>
      <c r="N49">
        <f>_xlfn.XLOOKUP(C49,[1]Herbarium_tissue_collected!$B:$B,[1]Herbarium_tissue_collected!$E:$E)</f>
        <v>1944</v>
      </c>
      <c r="S49" t="s">
        <v>51</v>
      </c>
    </row>
    <row r="50" spans="1:19" x14ac:dyDescent="0.2">
      <c r="A50" t="s">
        <v>53</v>
      </c>
      <c r="B50" t="s">
        <v>18</v>
      </c>
      <c r="C50">
        <v>304556</v>
      </c>
      <c r="D50" s="3" t="str">
        <f>_xlfn.XLOOKUP(C50,[1]Herbarium_tissue_collected!$B:$B,[1]Herbarium_tissue_collected!$D:$D)</f>
        <v>UCSB032011</v>
      </c>
      <c r="E50" s="3" t="s">
        <v>129</v>
      </c>
      <c r="F50" s="3" t="str">
        <f>_xlfn.XLOOKUP(C50,[1]Herbarium_tissue_collected!$B:$B,[1]Herbarium_tissue_collected!$F:$F)</f>
        <v>buds w extra</v>
      </c>
      <c r="G50" s="3" t="str">
        <f>_xlfn.XLOOKUP(C50,[1]Herbarium_tissue_collected!$B:$B,[1]Herbarium_tissue_collected!$G:$G)</f>
        <v>yes, basal</v>
      </c>
      <c r="H50" t="s">
        <v>29</v>
      </c>
      <c r="I50" t="s">
        <v>288</v>
      </c>
      <c r="K50" t="s">
        <v>292</v>
      </c>
      <c r="N50">
        <f>_xlfn.XLOOKUP(C50,[1]Herbarium_tissue_collected!$B:$B,[1]Herbarium_tissue_collected!$E:$E)</f>
        <v>1945</v>
      </c>
      <c r="S50" t="s">
        <v>52</v>
      </c>
    </row>
    <row r="51" spans="1:19" x14ac:dyDescent="0.2">
      <c r="A51" t="s">
        <v>53</v>
      </c>
      <c r="B51" t="s">
        <v>18</v>
      </c>
      <c r="C51">
        <v>47113</v>
      </c>
      <c r="D51" s="3" t="str">
        <f>_xlfn.XLOOKUP(C51,[1]Herbarium_tissue_collected!$B:$B,[1]Herbarium_tissue_collected!$D:$D)</f>
        <v>SBBG213834</v>
      </c>
      <c r="E51" s="3" t="s">
        <v>130</v>
      </c>
      <c r="F51" s="3" t="str">
        <f>_xlfn.XLOOKUP(C51,[1]Herbarium_tissue_collected!$B:$B,[1]Herbarium_tissue_collected!$F:$F)</f>
        <v>3 axiallary buds</v>
      </c>
      <c r="G51" s="3" t="str">
        <f>_xlfn.XLOOKUP(C51,[1]Herbarium_tissue_collected!$B:$B,[1]Herbarium_tissue_collected!$G:$G)</f>
        <v>no</v>
      </c>
      <c r="H51" t="s">
        <v>29</v>
      </c>
      <c r="N51">
        <f>_xlfn.XLOOKUP(C51,[1]Herbarium_tissue_collected!$B:$B,[1]Herbarium_tissue_collected!$E:$E)</f>
        <v>1947</v>
      </c>
      <c r="S51" t="s">
        <v>52</v>
      </c>
    </row>
    <row r="52" spans="1:19" x14ac:dyDescent="0.2">
      <c r="A52" t="s">
        <v>53</v>
      </c>
      <c r="B52" t="s">
        <v>18</v>
      </c>
      <c r="C52">
        <v>304543</v>
      </c>
      <c r="D52" s="3" t="str">
        <f>_xlfn.XLOOKUP(C52,[1]Herbarium_tissue_collected!$B:$B,[1]Herbarium_tissue_collected!$D:$D)</f>
        <v>UCSB032009</v>
      </c>
      <c r="E52" s="3" t="s">
        <v>131</v>
      </c>
      <c r="F52" s="3" t="str">
        <f>_xlfn.XLOOKUP(C52,[1]Herbarium_tissue_collected!$B:$B,[1]Herbarium_tissue_collected!$F:$F)</f>
        <v>buds w extra</v>
      </c>
      <c r="G52" s="3" t="str">
        <f>_xlfn.XLOOKUP(C52,[1]Herbarium_tissue_collected!$B:$B,[1]Herbarium_tissue_collected!$G:$G)</f>
        <v>yes, basal</v>
      </c>
      <c r="H52" t="s">
        <v>29</v>
      </c>
      <c r="I52" t="s">
        <v>287</v>
      </c>
      <c r="N52">
        <f>_xlfn.XLOOKUP(C52,[1]Herbarium_tissue_collected!$B:$B,[1]Herbarium_tissue_collected!$E:$E)</f>
        <v>1948</v>
      </c>
      <c r="S52" t="s">
        <v>55</v>
      </c>
    </row>
    <row r="53" spans="1:19" x14ac:dyDescent="0.2">
      <c r="A53" t="s">
        <v>53</v>
      </c>
      <c r="B53" t="s">
        <v>18</v>
      </c>
      <c r="C53">
        <v>2291878</v>
      </c>
      <c r="D53" s="3">
        <f>_xlfn.XLOOKUP(C53,[1]Herbarium_tissue_collected!$B:$B,[1]Herbarium_tissue_collected!$D:$D)</f>
        <v>74283</v>
      </c>
      <c r="E53" s="3">
        <v>74283</v>
      </c>
      <c r="F53" s="3" t="str">
        <f>_xlfn.XLOOKUP(C53,[1]Herbarium_tissue_collected!$B:$B,[1]Herbarium_tissue_collected!$F:$F)</f>
        <v>3 axillary buds</v>
      </c>
      <c r="G53" s="3" t="str">
        <f>_xlfn.XLOOKUP(C53,[1]Herbarium_tissue_collected!$B:$B,[1]Herbarium_tissue_collected!$G:$G)</f>
        <v>yes, basal</v>
      </c>
      <c r="H53" t="s">
        <v>29</v>
      </c>
      <c r="I53" t="s">
        <v>287</v>
      </c>
      <c r="N53">
        <f>_xlfn.XLOOKUP(C53,[1]Herbarium_tissue_collected!$B:$B,[1]Herbarium_tissue_collected!$E:$E)</f>
        <v>1949</v>
      </c>
      <c r="S53" t="s">
        <v>52</v>
      </c>
    </row>
    <row r="54" spans="1:19" x14ac:dyDescent="0.2">
      <c r="A54" t="s">
        <v>53</v>
      </c>
      <c r="B54" t="s">
        <v>19</v>
      </c>
      <c r="C54">
        <v>375714</v>
      </c>
      <c r="D54" s="3" t="str">
        <f>_xlfn.XLOOKUP(C54,[1]Herbarium_tissue_collected!$B:$B,[1]Herbarium_tissue_collected!$D:$D)</f>
        <v>SDSU01237</v>
      </c>
      <c r="E54" s="3" t="s">
        <v>132</v>
      </c>
      <c r="F54" s="3" t="str">
        <f>_xlfn.XLOOKUP(C54,[1]Herbarium_tissue_collected!$B:$B,[1]Herbarium_tissue_collected!$F:$F)</f>
        <v>axillary buds and pedicels</v>
      </c>
      <c r="G54" s="3" t="str">
        <f>_xlfn.XLOOKUP(C54,[1]Herbarium_tissue_collected!$B:$B,[1]Herbarium_tissue_collected!$G:$G)</f>
        <v>yes, basal</v>
      </c>
      <c r="H54" t="s">
        <v>29</v>
      </c>
      <c r="I54" t="s">
        <v>287</v>
      </c>
      <c r="N54">
        <f>_xlfn.XLOOKUP(C54,[1]Herbarium_tissue_collected!$B:$B,[1]Herbarium_tissue_collected!$E:$E)</f>
        <v>1951</v>
      </c>
      <c r="S54" t="s">
        <v>51</v>
      </c>
    </row>
    <row r="55" spans="1:19" x14ac:dyDescent="0.2">
      <c r="A55" t="s">
        <v>53</v>
      </c>
      <c r="B55" t="s">
        <v>19</v>
      </c>
      <c r="C55">
        <v>5504845</v>
      </c>
      <c r="D55" s="3">
        <f>_xlfn.XLOOKUP(C55,[1]Herbarium_tissue_collected!$B:$B,[1]Herbarium_tissue_collected!$D:$D)</f>
        <v>684482</v>
      </c>
      <c r="E55" s="3">
        <v>684482</v>
      </c>
      <c r="F55" s="3" t="str">
        <f>_xlfn.XLOOKUP(C55,[1]Herbarium_tissue_collected!$B:$B,[1]Herbarium_tissue_collected!$F:$F)</f>
        <v>2 terminal bud clusters, 1 axillary bud</v>
      </c>
      <c r="G55" s="3" t="str">
        <f>_xlfn.XLOOKUP(C55,[1]Herbarium_tissue_collected!$B:$B,[1]Herbarium_tissue_collected!$G:$G)</f>
        <v xml:space="preserve">yes, cauline, with cauline morphology </v>
      </c>
      <c r="H55" t="s">
        <v>29</v>
      </c>
      <c r="N55">
        <f>_xlfn.XLOOKUP(C55,[1]Herbarium_tissue_collected!$B:$B,[1]Herbarium_tissue_collected!$E:$E)</f>
        <v>1952</v>
      </c>
      <c r="S55" t="s">
        <v>56</v>
      </c>
    </row>
    <row r="56" spans="1:19" x14ac:dyDescent="0.2">
      <c r="A56" t="s">
        <v>53</v>
      </c>
      <c r="B56" t="s">
        <v>19</v>
      </c>
      <c r="C56">
        <v>304537</v>
      </c>
      <c r="D56" s="3" t="str">
        <f>_xlfn.XLOOKUP(C56,[1]Herbarium_tissue_collected!$B:$B,[1]Herbarium_tissue_collected!$D:$D)</f>
        <v>UCSB031994</v>
      </c>
      <c r="E56" s="3" t="s">
        <v>133</v>
      </c>
      <c r="F56" s="3" t="str">
        <f>_xlfn.XLOOKUP(C56,[1]Herbarium_tissue_collected!$B:$B,[1]Herbarium_tissue_collected!$F:$F)</f>
        <v>buds w extra</v>
      </c>
      <c r="G56" s="3" t="str">
        <f>_xlfn.XLOOKUP(C56,[1]Herbarium_tissue_collected!$B:$B,[1]Herbarium_tissue_collected!$G:$G)</f>
        <v>yes, cauline with basal morphology</v>
      </c>
      <c r="H56" t="s">
        <v>29</v>
      </c>
      <c r="I56" t="s">
        <v>288</v>
      </c>
      <c r="K56" t="s">
        <v>292</v>
      </c>
      <c r="N56">
        <f>_xlfn.XLOOKUP(C56,[1]Herbarium_tissue_collected!$B:$B,[1]Herbarium_tissue_collected!$E:$E)</f>
        <v>1953</v>
      </c>
      <c r="S56" t="s">
        <v>52</v>
      </c>
    </row>
    <row r="57" spans="1:19" s="6" customFormat="1" x14ac:dyDescent="0.2">
      <c r="A57" s="6" t="s">
        <v>53</v>
      </c>
      <c r="B57" s="6" t="s">
        <v>19</v>
      </c>
      <c r="C57" s="6">
        <v>304554</v>
      </c>
      <c r="D57" s="7" t="str">
        <f>_xlfn.XLOOKUP(C57,[1]Herbarium_tissue_collected!$B:$B,[1]Herbarium_tissue_collected!$D:$D)</f>
        <v>UCSB031998</v>
      </c>
      <c r="E57" s="7" t="s">
        <v>134</v>
      </c>
      <c r="F57" s="7" t="str">
        <f>_xlfn.XLOOKUP(C57,[1]Herbarium_tissue_collected!$B:$B,[1]Herbarium_tissue_collected!$F:$F)</f>
        <v>buds w extra</v>
      </c>
      <c r="G57" s="7" t="str">
        <f>_xlfn.XLOOKUP(C57,[1]Herbarium_tissue_collected!$B:$B,[1]Herbarium_tissue_collected!$G:$G)</f>
        <v>yes, basal</v>
      </c>
      <c r="H57" t="s">
        <v>29</v>
      </c>
      <c r="I57" t="s">
        <v>288</v>
      </c>
      <c r="K57" s="6" t="s">
        <v>292</v>
      </c>
      <c r="N57" s="6">
        <f>_xlfn.XLOOKUP(C57,[1]Herbarium_tissue_collected!$B:$B,[1]Herbarium_tissue_collected!$E:$E)</f>
        <v>1953</v>
      </c>
      <c r="S57" s="6" t="s">
        <v>52</v>
      </c>
    </row>
    <row r="58" spans="1:19" x14ac:dyDescent="0.2">
      <c r="A58" t="s">
        <v>53</v>
      </c>
      <c r="B58" t="s">
        <v>19</v>
      </c>
      <c r="C58">
        <v>304597</v>
      </c>
      <c r="D58" s="3" t="str">
        <f>_xlfn.XLOOKUP(C58,[1]Herbarium_tissue_collected!$B:$B,[1]Herbarium_tissue_collected!$D:$D)</f>
        <v>UCSB032064</v>
      </c>
      <c r="E58" s="3" t="s">
        <v>135</v>
      </c>
      <c r="F58" s="3" t="str">
        <f>_xlfn.XLOOKUP(C58,[1]Herbarium_tissue_collected!$B:$B,[1]Herbarium_tissue_collected!$F:$F)</f>
        <v>buds w extra</v>
      </c>
      <c r="G58" s="3" t="str">
        <f>_xlfn.XLOOKUP(C58,[1]Herbarium_tissue_collected!$B:$B,[1]Herbarium_tissue_collected!$G:$G)</f>
        <v>yes, cauline with basal morphology</v>
      </c>
      <c r="H58" t="s">
        <v>29</v>
      </c>
      <c r="I58" t="s">
        <v>288</v>
      </c>
      <c r="K58" t="s">
        <v>292</v>
      </c>
      <c r="N58">
        <f>_xlfn.XLOOKUP(C58,[1]Herbarium_tissue_collected!$B:$B,[1]Herbarium_tissue_collected!$E:$E)</f>
        <v>1954</v>
      </c>
      <c r="S58" t="s">
        <v>51</v>
      </c>
    </row>
    <row r="59" spans="1:19" x14ac:dyDescent="0.2">
      <c r="A59" t="s">
        <v>53</v>
      </c>
      <c r="B59" t="s">
        <v>19</v>
      </c>
      <c r="C59">
        <v>304567</v>
      </c>
      <c r="D59" s="3" t="str">
        <f>_xlfn.XLOOKUP(C59,[1]Herbarium_tissue_collected!$B:$B,[1]Herbarium_tissue_collected!$D:$D)</f>
        <v>UCSB032031</v>
      </c>
      <c r="E59" s="3" t="s">
        <v>136</v>
      </c>
      <c r="F59" s="3" t="str">
        <f>_xlfn.XLOOKUP(C59,[1]Herbarium_tissue_collected!$B:$B,[1]Herbarium_tissue_collected!$F:$F)</f>
        <v>buds w extra</v>
      </c>
      <c r="G59" s="3" t="str">
        <f>_xlfn.XLOOKUP(C59,[1]Herbarium_tissue_collected!$B:$B,[1]Herbarium_tissue_collected!$G:$G)</f>
        <v>yes, basal</v>
      </c>
      <c r="H59" t="s">
        <v>29</v>
      </c>
      <c r="I59" t="s">
        <v>287</v>
      </c>
      <c r="N59">
        <f>_xlfn.XLOOKUP(C59,[1]Herbarium_tissue_collected!$B:$B,[1]Herbarium_tissue_collected!$E:$E)</f>
        <v>1955</v>
      </c>
      <c r="S59" t="s">
        <v>52</v>
      </c>
    </row>
    <row r="60" spans="1:19" x14ac:dyDescent="0.2">
      <c r="A60" t="s">
        <v>53</v>
      </c>
      <c r="B60" t="s">
        <v>19</v>
      </c>
      <c r="C60">
        <v>2456431</v>
      </c>
      <c r="D60" s="3">
        <f>_xlfn.XLOOKUP(C60,[1]Herbarium_tissue_collected!$B:$B,[1]Herbarium_tissue_collected!$D:$D)</f>
        <v>74282</v>
      </c>
      <c r="E60" s="3">
        <v>74282</v>
      </c>
      <c r="F60" s="3" t="str">
        <f>_xlfn.XLOOKUP(C60,[1]Herbarium_tissue_collected!$B:$B,[1]Herbarium_tissue_collected!$F:$F)</f>
        <v>3 axillary buds</v>
      </c>
      <c r="G60" s="3" t="str">
        <f>_xlfn.XLOOKUP(C60,[1]Herbarium_tissue_collected!$B:$B,[1]Herbarium_tissue_collected!$G:$G)</f>
        <v>yes, cauline with basal morphology</v>
      </c>
      <c r="H60" t="s">
        <v>29</v>
      </c>
      <c r="I60" t="s">
        <v>287</v>
      </c>
      <c r="N60">
        <f>_xlfn.XLOOKUP(C60,[1]Herbarium_tissue_collected!$B:$B,[1]Herbarium_tissue_collected!$E:$E)</f>
        <v>1959</v>
      </c>
      <c r="S60" t="s">
        <v>52</v>
      </c>
    </row>
    <row r="61" spans="1:19" x14ac:dyDescent="0.2">
      <c r="A61" t="s">
        <v>53</v>
      </c>
      <c r="B61" t="s">
        <v>20</v>
      </c>
      <c r="C61">
        <v>2378585</v>
      </c>
      <c r="D61" s="3">
        <f>_xlfn.XLOOKUP(C61,[1]Herbarium_tissue_collected!$B:$B,[1]Herbarium_tissue_collected!$D:$D)</f>
        <v>74277</v>
      </c>
      <c r="E61" s="3">
        <v>74277</v>
      </c>
      <c r="F61" s="3" t="str">
        <f>_xlfn.XLOOKUP(C61,[1]Herbarium_tissue_collected!$B:$B,[1]Herbarium_tissue_collected!$F:$F)</f>
        <v xml:space="preserve"> 2 axillary buds, 1 terminal bud</v>
      </c>
      <c r="G61" s="3" t="str">
        <f>_xlfn.XLOOKUP(C61,[1]Herbarium_tissue_collected!$B:$B,[1]Herbarium_tissue_collected!$G:$G)</f>
        <v>yes, basal</v>
      </c>
      <c r="H61" t="s">
        <v>29</v>
      </c>
      <c r="I61" t="s">
        <v>287</v>
      </c>
      <c r="N61">
        <f>_xlfn.XLOOKUP(C61,[1]Herbarium_tissue_collected!$B:$B,[1]Herbarium_tissue_collected!$E:$E)</f>
        <v>1961</v>
      </c>
      <c r="S61" t="s">
        <v>52</v>
      </c>
    </row>
    <row r="62" spans="1:19" x14ac:dyDescent="0.2">
      <c r="A62" t="s">
        <v>53</v>
      </c>
      <c r="B62" t="s">
        <v>20</v>
      </c>
      <c r="C62">
        <v>5504851</v>
      </c>
      <c r="D62" s="3">
        <f>_xlfn.XLOOKUP(C62,[1]Herbarium_tissue_collected!$B:$B,[1]Herbarium_tissue_collected!$D:$D)</f>
        <v>684488</v>
      </c>
      <c r="E62" s="3">
        <v>684488</v>
      </c>
      <c r="F62" s="3" t="str">
        <f>_xlfn.XLOOKUP(C62,[1]Herbarium_tissue_collected!$B:$B,[1]Herbarium_tissue_collected!$F:$F)</f>
        <v>3 axillary buds</v>
      </c>
      <c r="G62" s="3" t="str">
        <f>_xlfn.XLOOKUP(C62,[1]Herbarium_tissue_collected!$B:$B,[1]Herbarium_tissue_collected!$G:$G)</f>
        <v>yes, basal</v>
      </c>
      <c r="H62" t="s">
        <v>29</v>
      </c>
      <c r="N62">
        <f>_xlfn.XLOOKUP(C62,[1]Herbarium_tissue_collected!$B:$B,[1]Herbarium_tissue_collected!$E:$E)</f>
        <v>1962</v>
      </c>
      <c r="S62" t="s">
        <v>52</v>
      </c>
    </row>
    <row r="63" spans="1:19" x14ac:dyDescent="0.2">
      <c r="A63" t="s">
        <v>53</v>
      </c>
      <c r="B63" t="s">
        <v>20</v>
      </c>
      <c r="C63">
        <v>375692</v>
      </c>
      <c r="D63" s="3" t="str">
        <f>_xlfn.XLOOKUP(C63,[1]Herbarium_tissue_collected!$B:$B,[1]Herbarium_tissue_collected!$D:$D)</f>
        <v>SDSU01215</v>
      </c>
      <c r="E63" s="3" t="s">
        <v>137</v>
      </c>
      <c r="F63" s="3" t="str">
        <f>_xlfn.XLOOKUP(C63,[1]Herbarium_tissue_collected!$B:$B,[1]Herbarium_tissue_collected!$F:$F)</f>
        <v>3 tiny axillary buds</v>
      </c>
      <c r="G63" s="3" t="str">
        <f>_xlfn.XLOOKUP(C63,[1]Herbarium_tissue_collected!$B:$B,[1]Herbarium_tissue_collected!$G:$G)</f>
        <v>yes, cauline, not basal morphology</v>
      </c>
      <c r="H63" t="s">
        <v>29</v>
      </c>
      <c r="N63">
        <f>_xlfn.XLOOKUP(C63,[1]Herbarium_tissue_collected!$B:$B,[1]Herbarium_tissue_collected!$E:$E)</f>
        <v>1963</v>
      </c>
    </row>
    <row r="64" spans="1:19" x14ac:dyDescent="0.2">
      <c r="A64" t="s">
        <v>53</v>
      </c>
      <c r="B64" t="s">
        <v>20</v>
      </c>
      <c r="C64">
        <v>2390281</v>
      </c>
      <c r="D64" s="3">
        <f>_xlfn.XLOOKUP(C64,[1]Herbarium_tissue_collected!$B:$B,[1]Herbarium_tissue_collected!$D:$D)</f>
        <v>74318</v>
      </c>
      <c r="E64" s="3">
        <v>74318</v>
      </c>
      <c r="F64" s="3" t="str">
        <f>_xlfn.XLOOKUP(C64,[1]Herbarium_tissue_collected!$B:$B,[1]Herbarium_tissue_collected!$F:$F)</f>
        <v>3 axillary buds</v>
      </c>
      <c r="G64" s="3" t="str">
        <f>_xlfn.XLOOKUP(C64,[1]Herbarium_tissue_collected!$B:$B,[1]Herbarium_tissue_collected!$G:$G)</f>
        <v>yes, cauline w/ intermediate morphology</v>
      </c>
      <c r="H64" t="s">
        <v>29</v>
      </c>
      <c r="I64" t="s">
        <v>287</v>
      </c>
      <c r="N64">
        <f>_xlfn.XLOOKUP(C64,[1]Herbarium_tissue_collected!$B:$B,[1]Herbarium_tissue_collected!$E:$E)</f>
        <v>1964</v>
      </c>
    </row>
    <row r="65" spans="1:19" x14ac:dyDescent="0.2">
      <c r="A65" t="s">
        <v>53</v>
      </c>
      <c r="B65" t="s">
        <v>20</v>
      </c>
      <c r="C65">
        <v>1443133</v>
      </c>
      <c r="D65" s="3" t="str">
        <f>_xlfn.XLOOKUP(C65,[1]Herbarium_tissue_collected!$B:$B,[1]Herbarium_tissue_collected!$D:$D)</f>
        <v>UCR0083345</v>
      </c>
      <c r="E65" s="3" t="s">
        <v>138</v>
      </c>
      <c r="F65" s="3" t="str">
        <f>_xlfn.XLOOKUP(C65,[1]Herbarium_tissue_collected!$B:$B,[1]Herbarium_tissue_collected!$F:$F)</f>
        <v>4 axiallary buds</v>
      </c>
      <c r="G65" s="3" t="str">
        <f>_xlfn.XLOOKUP(C65,[1]Herbarium_tissue_collected!$B:$B,[1]Herbarium_tissue_collected!$G:$G)</f>
        <v xml:space="preserve">yes, basal </v>
      </c>
      <c r="H65" t="s">
        <v>29</v>
      </c>
      <c r="I65" t="s">
        <v>284</v>
      </c>
      <c r="N65">
        <f>_xlfn.XLOOKUP(C65,[1]Herbarium_tissue_collected!$B:$B,[1]Herbarium_tissue_collected!$E:$E)</f>
        <v>1965</v>
      </c>
    </row>
    <row r="66" spans="1:19" x14ac:dyDescent="0.2">
      <c r="A66" t="s">
        <v>53</v>
      </c>
      <c r="B66" t="s">
        <v>20</v>
      </c>
      <c r="C66">
        <v>2422811</v>
      </c>
      <c r="D66" s="3">
        <f>_xlfn.XLOOKUP(C66,[1]Herbarium_tissue_collected!$B:$B,[1]Herbarium_tissue_collected!$D:$D)</f>
        <v>74227</v>
      </c>
      <c r="E66" s="3">
        <v>74227</v>
      </c>
      <c r="F66" s="3" t="str">
        <f>_xlfn.XLOOKUP(C66,[1]Herbarium_tissue_collected!$B:$B,[1]Herbarium_tissue_collected!$F:$F)</f>
        <v xml:space="preserve">3 axillary buds </v>
      </c>
      <c r="G66" s="3" t="str">
        <f>_xlfn.XLOOKUP(C66,[1]Herbarium_tissue_collected!$B:$B,[1]Herbarium_tissue_collected!$G:$G)</f>
        <v>yes, basal</v>
      </c>
      <c r="H66" t="s">
        <v>29</v>
      </c>
      <c r="I66" t="s">
        <v>287</v>
      </c>
      <c r="N66">
        <f>_xlfn.XLOOKUP(C66,[1]Herbarium_tissue_collected!$B:$B,[1]Herbarium_tissue_collected!$E:$E)</f>
        <v>1966</v>
      </c>
    </row>
    <row r="67" spans="1:19" x14ac:dyDescent="0.2">
      <c r="A67" t="s">
        <v>53</v>
      </c>
      <c r="B67" t="s">
        <v>20</v>
      </c>
      <c r="C67">
        <v>4745856</v>
      </c>
      <c r="D67" s="3">
        <f>_xlfn.XLOOKUP(C67,[1]Herbarium_tissue_collected!$B:$B,[1]Herbarium_tissue_collected!$D:$D)</f>
        <v>77910</v>
      </c>
      <c r="E67" s="3">
        <v>77910</v>
      </c>
      <c r="F67" s="3" t="str">
        <f>_xlfn.XLOOKUP(C67,[1]Herbarium_tissue_collected!$B:$B,[1]Herbarium_tissue_collected!$F:$F)</f>
        <v>4 axiallary buds with little leaves</v>
      </c>
      <c r="G67" s="3" t="str">
        <f>_xlfn.XLOOKUP(C67,[1]Herbarium_tissue_collected!$B:$B,[1]Herbarium_tissue_collected!$G:$G)</f>
        <v>yes, basal with cauline morphology</v>
      </c>
      <c r="H67" t="s">
        <v>29</v>
      </c>
      <c r="I67" t="s">
        <v>284</v>
      </c>
      <c r="N67">
        <f>_xlfn.XLOOKUP(C67,[1]Herbarium_tissue_collected!$B:$B,[1]Herbarium_tissue_collected!$E:$E)</f>
        <v>1967</v>
      </c>
      <c r="S67" t="s">
        <v>52</v>
      </c>
    </row>
    <row r="68" spans="1:19" x14ac:dyDescent="0.2">
      <c r="A68" t="s">
        <v>53</v>
      </c>
      <c r="B68" t="s">
        <v>20</v>
      </c>
      <c r="C68">
        <v>375697</v>
      </c>
      <c r="D68" s="3" t="str">
        <f>_xlfn.XLOOKUP(C68,[1]Herbarium_tissue_collected!$B:$B,[1]Herbarium_tissue_collected!$D:$D)</f>
        <v>SDSU01220</v>
      </c>
      <c r="E68" s="3" t="s">
        <v>139</v>
      </c>
      <c r="F68" s="3" t="str">
        <f>_xlfn.XLOOKUP(C68,[1]Herbarium_tissue_collected!$B:$B,[1]Herbarium_tissue_collected!$F:$F)</f>
        <v>multiple axillary bud clusters</v>
      </c>
      <c r="G68" s="3" t="str">
        <f>_xlfn.XLOOKUP(C68,[1]Herbarium_tissue_collected!$B:$B,[1]Herbarium_tissue_collected!$G:$G)</f>
        <v>yes, cauline with basal morphology</v>
      </c>
      <c r="H68" t="s">
        <v>29</v>
      </c>
      <c r="I68" t="s">
        <v>288</v>
      </c>
      <c r="K68" t="s">
        <v>292</v>
      </c>
      <c r="N68">
        <f>_xlfn.XLOOKUP(C68,[1]Herbarium_tissue_collected!$B:$B,[1]Herbarium_tissue_collected!$E:$E)</f>
        <v>1969</v>
      </c>
      <c r="S68" t="s">
        <v>51</v>
      </c>
    </row>
    <row r="69" spans="1:19" x14ac:dyDescent="0.2">
      <c r="A69" t="s">
        <v>53</v>
      </c>
      <c r="B69" t="s">
        <v>21</v>
      </c>
      <c r="C69">
        <v>304593</v>
      </c>
      <c r="D69" s="3" t="str">
        <f>_xlfn.XLOOKUP(C69,[1]Herbarium_tissue_collected!$B:$B,[1]Herbarium_tissue_collected!$D:$D)</f>
        <v>UCSB032037</v>
      </c>
      <c r="E69" s="3" t="s">
        <v>140</v>
      </c>
      <c r="F69" s="3" t="str">
        <f>_xlfn.XLOOKUP(C69,[1]Herbarium_tissue_collected!$B:$B,[1]Herbarium_tissue_collected!$F:$F)</f>
        <v>buds w extra</v>
      </c>
      <c r="G69" s="3" t="str">
        <f>_xlfn.XLOOKUP(C69,[1]Herbarium_tissue_collected!$B:$B,[1]Herbarium_tissue_collected!$G:$G)</f>
        <v>yes, cauline with basal morphology</v>
      </c>
      <c r="H69" t="s">
        <v>29</v>
      </c>
      <c r="I69" t="s">
        <v>290</v>
      </c>
      <c r="K69" t="s">
        <v>293</v>
      </c>
      <c r="N69">
        <f>_xlfn.XLOOKUP(C69,[1]Herbarium_tissue_collected!$B:$B,[1]Herbarium_tissue_collected!$E:$E)</f>
        <v>1971</v>
      </c>
      <c r="S69" t="s">
        <v>51</v>
      </c>
    </row>
    <row r="70" spans="1:19" x14ac:dyDescent="0.2">
      <c r="A70" t="s">
        <v>53</v>
      </c>
      <c r="B70" t="s">
        <v>21</v>
      </c>
      <c r="C70">
        <v>469006</v>
      </c>
      <c r="D70" s="3" t="str">
        <f>_xlfn.XLOOKUP(C70,[1]Herbarium_tissue_collected!$B:$B,[1]Herbarium_tissue_collected!$D:$D)</f>
        <v>SD00062664</v>
      </c>
      <c r="E70" s="3" t="s">
        <v>141</v>
      </c>
      <c r="F70" s="3" t="str">
        <f>_xlfn.XLOOKUP(C70,[1]Herbarium_tissue_collected!$B:$B,[1]Herbarium_tissue_collected!$F:$F)</f>
        <v>5 axillary buds; 2 little leaves</v>
      </c>
      <c r="G70" s="3" t="str">
        <f>_xlfn.XLOOKUP(C70,[1]Herbarium_tissue_collected!$B:$B,[1]Herbarium_tissue_collected!$G:$G)</f>
        <v xml:space="preserve">yes, cauline with cauline morphology </v>
      </c>
      <c r="H70" t="s">
        <v>29</v>
      </c>
      <c r="I70" t="s">
        <v>287</v>
      </c>
      <c r="N70">
        <f>_xlfn.XLOOKUP(C70,[1]Herbarium_tissue_collected!$B:$B,[1]Herbarium_tissue_collected!$E:$E)</f>
        <v>1971</v>
      </c>
    </row>
    <row r="71" spans="1:19" x14ac:dyDescent="0.2">
      <c r="A71" t="s">
        <v>53</v>
      </c>
      <c r="B71" t="s">
        <v>21</v>
      </c>
      <c r="C71">
        <v>2404723</v>
      </c>
      <c r="D71" s="3">
        <f>_xlfn.XLOOKUP(C71,[1]Herbarium_tissue_collected!$B:$B,[1]Herbarium_tissue_collected!$D:$D)</f>
        <v>74228</v>
      </c>
      <c r="E71" s="3">
        <v>74228</v>
      </c>
      <c r="F71" s="3" t="str">
        <f>_xlfn.XLOOKUP(C71,[1]Herbarium_tissue_collected!$B:$B,[1]Herbarium_tissue_collected!$F:$F)</f>
        <v>1 terminal bud cluster, 2 axillary buds</v>
      </c>
      <c r="G71" s="3" t="str">
        <f>_xlfn.XLOOKUP(C71,[1]Herbarium_tissue_collected!$B:$B,[1]Herbarium_tissue_collected!$G:$G)</f>
        <v>yes, cauline</v>
      </c>
      <c r="H71" t="s">
        <v>29</v>
      </c>
      <c r="I71" t="s">
        <v>287</v>
      </c>
      <c r="N71">
        <f>_xlfn.XLOOKUP(C71,[1]Herbarium_tissue_collected!$B:$B,[1]Herbarium_tissue_collected!$E:$E)</f>
        <v>1975</v>
      </c>
    </row>
    <row r="72" spans="1:19" x14ac:dyDescent="0.2">
      <c r="A72" t="s">
        <v>53</v>
      </c>
      <c r="B72" t="s">
        <v>21</v>
      </c>
      <c r="C72">
        <v>106537</v>
      </c>
      <c r="D72" s="3" t="str">
        <f>_xlfn.XLOOKUP(C72,[1]Herbarium_tissue_collected!$B:$B,[1]Herbarium_tissue_collected!$D:$D)</f>
        <v>SBBG213844</v>
      </c>
      <c r="E72" s="3" t="s">
        <v>142</v>
      </c>
      <c r="F72" s="3" t="str">
        <f>_xlfn.XLOOKUP(C72,[1]Herbarium_tissue_collected!$B:$B,[1]Herbarium_tissue_collected!$F:$F)</f>
        <v>6 bud clusters</v>
      </c>
      <c r="G72" s="3" t="str">
        <f>_xlfn.XLOOKUP(C72,[1]Herbarium_tissue_collected!$B:$B,[1]Herbarium_tissue_collected!$G:$G)</f>
        <v>yes, cauline w/ intermediate morphology</v>
      </c>
      <c r="H72" t="s">
        <v>29</v>
      </c>
      <c r="N72">
        <f>_xlfn.XLOOKUP(C72,[1]Herbarium_tissue_collected!$B:$B,[1]Herbarium_tissue_collected!$E:$E)</f>
        <v>1977</v>
      </c>
    </row>
    <row r="73" spans="1:19" x14ac:dyDescent="0.2">
      <c r="A73" t="s">
        <v>53</v>
      </c>
      <c r="B73" t="s">
        <v>22</v>
      </c>
      <c r="C73">
        <v>1443129</v>
      </c>
      <c r="D73" s="3" t="str">
        <f>_xlfn.XLOOKUP(C73,[1]Herbarium_tissue_collected!$B:$B,[1]Herbarium_tissue_collected!$D:$D)</f>
        <v>UCR0083346</v>
      </c>
      <c r="E73" s="3" t="s">
        <v>143</v>
      </c>
      <c r="F73" s="3" t="str">
        <f>_xlfn.XLOOKUP(C73,[1]Herbarium_tissue_collected!$B:$B,[1]Herbarium_tissue_collected!$F:$F)</f>
        <v>3 axiallary buds</v>
      </c>
      <c r="G73" s="3" t="str">
        <f>_xlfn.XLOOKUP(C73,[1]Herbarium_tissue_collected!$B:$B,[1]Herbarium_tissue_collected!$G:$G)</f>
        <v>yes, cauline w/ intermediate morphology</v>
      </c>
      <c r="H73" t="s">
        <v>29</v>
      </c>
      <c r="N73">
        <f>_xlfn.XLOOKUP(C73,[1]Herbarium_tissue_collected!$B:$B,[1]Herbarium_tissue_collected!$E:$E)</f>
        <v>1981</v>
      </c>
    </row>
    <row r="74" spans="1:19" x14ac:dyDescent="0.2">
      <c r="A74" t="s">
        <v>53</v>
      </c>
      <c r="B74" t="s">
        <v>22</v>
      </c>
      <c r="C74">
        <v>469013</v>
      </c>
      <c r="D74" s="3" t="str">
        <f>_xlfn.XLOOKUP(C74,[1]Herbarium_tissue_collected!$B:$B,[1]Herbarium_tissue_collected!$D:$D)</f>
        <v>SD00062665</v>
      </c>
      <c r="E74" s="3" t="s">
        <v>144</v>
      </c>
      <c r="F74" s="3" t="str">
        <f>_xlfn.XLOOKUP(C74,[1]Herbarium_tissue_collected!$B:$B,[1]Herbarium_tissue_collected!$F:$F)</f>
        <v>4 axiallary buds</v>
      </c>
      <c r="G74" s="3" t="str">
        <f>_xlfn.XLOOKUP(C74,[1]Herbarium_tissue_collected!$B:$B,[1]Herbarium_tissue_collected!$G:$G)</f>
        <v>yes, cauline w/ intermediate morphology</v>
      </c>
      <c r="H74" t="s">
        <v>29</v>
      </c>
      <c r="I74" t="s">
        <v>287</v>
      </c>
      <c r="N74">
        <f>_xlfn.XLOOKUP(C74,[1]Herbarium_tissue_collected!$B:$B,[1]Herbarium_tissue_collected!$E:$E)</f>
        <v>1984</v>
      </c>
    </row>
    <row r="75" spans="1:19" x14ac:dyDescent="0.2">
      <c r="A75" t="s">
        <v>53</v>
      </c>
      <c r="B75" t="s">
        <v>22</v>
      </c>
      <c r="C75">
        <v>1459130</v>
      </c>
      <c r="D75" s="3" t="str">
        <f>_xlfn.XLOOKUP(C75,[1]Herbarium_tissue_collected!$B:$B,[1]Herbarium_tissue_collected!$D:$D)</f>
        <v>UCR0083335</v>
      </c>
      <c r="E75" s="3" t="s">
        <v>145</v>
      </c>
      <c r="F75" s="3" t="str">
        <f>_xlfn.XLOOKUP(C75,[1]Herbarium_tissue_collected!$B:$B,[1]Herbarium_tissue_collected!$F:$F)</f>
        <v>4 bud clusters</v>
      </c>
      <c r="G75" s="3" t="str">
        <f>_xlfn.XLOOKUP(C75,[1]Herbarium_tissue_collected!$B:$B,[1]Herbarium_tissue_collected!$G:$G)</f>
        <v>yes, cauline with basal morphology</v>
      </c>
      <c r="H75" t="s">
        <v>29</v>
      </c>
      <c r="I75" t="s">
        <v>284</v>
      </c>
      <c r="N75">
        <f>_xlfn.XLOOKUP(C75,[1]Herbarium_tissue_collected!$B:$B,[1]Herbarium_tissue_collected!$E:$E)</f>
        <v>1986</v>
      </c>
    </row>
    <row r="76" spans="1:19" x14ac:dyDescent="0.2">
      <c r="A76" t="s">
        <v>53</v>
      </c>
      <c r="B76" t="s">
        <v>22</v>
      </c>
      <c r="C76">
        <v>1459129</v>
      </c>
      <c r="D76" s="3" t="str">
        <f>_xlfn.XLOOKUP(C76,[1]Herbarium_tissue_collected!$B:$B,[1]Herbarium_tissue_collected!$D:$D)</f>
        <v>UCR0083371</v>
      </c>
      <c r="E76" s="3" t="s">
        <v>146</v>
      </c>
      <c r="F76" s="3" t="str">
        <f>_xlfn.XLOOKUP(C76,[1]Herbarium_tissue_collected!$B:$B,[1]Herbarium_tissue_collected!$F:$F)</f>
        <v>3 axiallary buds, 2 little leaves</v>
      </c>
      <c r="G76" s="3" t="str">
        <f>_xlfn.XLOOKUP(C76,[1]Herbarium_tissue_collected!$B:$B,[1]Herbarium_tissue_collected!$G:$G)</f>
        <v>yes, cauline w/ intermediate morphology</v>
      </c>
      <c r="H76" t="s">
        <v>29</v>
      </c>
      <c r="N76">
        <f>_xlfn.XLOOKUP(C76,[1]Herbarium_tissue_collected!$B:$B,[1]Herbarium_tissue_collected!$E:$E)</f>
        <v>1986</v>
      </c>
    </row>
    <row r="77" spans="1:19" x14ac:dyDescent="0.2">
      <c r="A77" t="s">
        <v>53</v>
      </c>
      <c r="B77" t="s">
        <v>22</v>
      </c>
      <c r="C77">
        <v>33390</v>
      </c>
      <c r="D77" s="3" t="str">
        <f>_xlfn.XLOOKUP(C77,[1]Herbarium_tissue_collected!$B:$B,[1]Herbarium_tissue_collected!$D:$D)</f>
        <v>SBBG213840</v>
      </c>
      <c r="E77" s="3" t="s">
        <v>147</v>
      </c>
      <c r="F77" s="3" t="str">
        <f>_xlfn.XLOOKUP(C77,[1]Herbarium_tissue_collected!$B:$B,[1]Herbarium_tissue_collected!$F:$F)</f>
        <v>5 axillary buds</v>
      </c>
      <c r="G77" s="3" t="str">
        <f>_xlfn.XLOOKUP(C77,[1]Herbarium_tissue_collected!$B:$B,[1]Herbarium_tissue_collected!$G:$G)</f>
        <v>yes, cauline w/ intermediate morphology</v>
      </c>
      <c r="H77" t="s">
        <v>29</v>
      </c>
      <c r="I77" t="s">
        <v>288</v>
      </c>
      <c r="K77" t="s">
        <v>292</v>
      </c>
      <c r="N77">
        <f>_xlfn.XLOOKUP(C77,[1]Herbarium_tissue_collected!$B:$B,[1]Herbarium_tissue_collected!$E:$E)</f>
        <v>1988</v>
      </c>
    </row>
    <row r="78" spans="1:19" x14ac:dyDescent="0.2">
      <c r="A78" t="s">
        <v>53</v>
      </c>
      <c r="B78" t="s">
        <v>22</v>
      </c>
      <c r="C78">
        <v>1459128</v>
      </c>
      <c r="D78" s="3" t="str">
        <f>_xlfn.XLOOKUP(C78,[1]Herbarium_tissue_collected!$B:$B,[1]Herbarium_tissue_collected!$D:$D)</f>
        <v>UCR0083336</v>
      </c>
      <c r="E78" s="3" t="s">
        <v>148</v>
      </c>
      <c r="F78" s="3" t="str">
        <f>_xlfn.XLOOKUP(C78,[1]Herbarium_tissue_collected!$B:$B,[1]Herbarium_tissue_collected!$F:$F)</f>
        <v>4 axiallary buds</v>
      </c>
      <c r="G78" s="3" t="str">
        <f>_xlfn.XLOOKUP(C78,[1]Herbarium_tissue_collected!$B:$B,[1]Herbarium_tissue_collected!$G:$G)</f>
        <v xml:space="preserve">yes, cauline with cauline morphology </v>
      </c>
      <c r="H78" t="s">
        <v>29</v>
      </c>
      <c r="I78" t="s">
        <v>284</v>
      </c>
      <c r="K78" t="s">
        <v>294</v>
      </c>
      <c r="N78">
        <f>_xlfn.XLOOKUP(C78,[1]Herbarium_tissue_collected!$B:$B,[1]Herbarium_tissue_collected!$E:$E)</f>
        <v>1988</v>
      </c>
    </row>
    <row r="79" spans="1:19" x14ac:dyDescent="0.2">
      <c r="A79" t="s">
        <v>53</v>
      </c>
      <c r="B79" t="s">
        <v>23</v>
      </c>
      <c r="C79">
        <v>3503027</v>
      </c>
      <c r="D79" s="3" t="str">
        <f>_xlfn.XLOOKUP(C79,[1]Herbarium_tissue_collected!$B:$B,[1]Herbarium_tissue_collected!$D:$D)</f>
        <v>UC1584034</v>
      </c>
      <c r="E79" s="3" t="s">
        <v>149</v>
      </c>
      <c r="F79" s="3" t="str">
        <f>_xlfn.XLOOKUP(C79,[1]Herbarium_tissue_collected!$B:$B,[1]Herbarium_tissue_collected!$F:$F)</f>
        <v>3 axiallary buds</v>
      </c>
      <c r="G79" s="3" t="str">
        <f>_xlfn.XLOOKUP(C79,[1]Herbarium_tissue_collected!$B:$B,[1]Herbarium_tissue_collected!$G:$G)</f>
        <v>yes, basal</v>
      </c>
      <c r="H79" t="s">
        <v>29</v>
      </c>
      <c r="I79" t="s">
        <v>287</v>
      </c>
      <c r="N79">
        <f>_xlfn.XLOOKUP(C79,[1]Herbarium_tissue_collected!$B:$B,[1]Herbarium_tissue_collected!$E:$E)</f>
        <v>1991</v>
      </c>
    </row>
    <row r="80" spans="1:19" x14ac:dyDescent="0.2">
      <c r="A80" t="s">
        <v>53</v>
      </c>
      <c r="B80" t="s">
        <v>23</v>
      </c>
      <c r="C80" s="3">
        <v>4743360</v>
      </c>
      <c r="D80" s="3">
        <f>_xlfn.XLOOKUP(C80,[1]Herbarium_tissue_collected!$B:$B,[1]Herbarium_tissue_collected!$D:$D)</f>
        <v>75601</v>
      </c>
      <c r="E80" s="3">
        <v>75601</v>
      </c>
      <c r="F80" s="3" t="str">
        <f>_xlfn.XLOOKUP(C80,[1]Herbarium_tissue_collected!$B:$B,[1]Herbarium_tissue_collected!$F:$F)</f>
        <v>4 axiallary buds</v>
      </c>
      <c r="G80" s="3" t="str">
        <f>_xlfn.XLOOKUP(C80,[1]Herbarium_tissue_collected!$B:$B,[1]Herbarium_tissue_collected!$G:$G)</f>
        <v>yes, basal</v>
      </c>
      <c r="H80" t="s">
        <v>29</v>
      </c>
      <c r="I80" t="s">
        <v>287</v>
      </c>
      <c r="N80">
        <f>_xlfn.XLOOKUP(C80,[1]Herbarium_tissue_collected!$B:$B,[1]Herbarium_tissue_collected!$E:$E)</f>
        <v>1993</v>
      </c>
    </row>
    <row r="81" spans="1:19" x14ac:dyDescent="0.2">
      <c r="A81" t="s">
        <v>53</v>
      </c>
      <c r="B81" t="s">
        <v>23</v>
      </c>
      <c r="C81" s="3">
        <v>469019</v>
      </c>
      <c r="D81" s="3" t="str">
        <f>_xlfn.XLOOKUP(C81,[1]Herbarium_tissue_collected!$B:$B,[1]Herbarium_tissue_collected!$D:$D)</f>
        <v>SD00060083</v>
      </c>
      <c r="E81" s="3" t="s">
        <v>150</v>
      </c>
      <c r="F81" s="3" t="str">
        <f>_xlfn.XLOOKUP(C81,[1]Herbarium_tissue_collected!$B:$B,[1]Herbarium_tissue_collected!$F:$F)</f>
        <v>clusters and big bud</v>
      </c>
      <c r="G81" s="3" t="str">
        <f>_xlfn.XLOOKUP(C81,[1]Herbarium_tissue_collected!$B:$B,[1]Herbarium_tissue_collected!$G:$G)</f>
        <v>yes, cauline</v>
      </c>
      <c r="H81" t="s">
        <v>29</v>
      </c>
      <c r="N81">
        <f>_xlfn.XLOOKUP(C81,[1]Herbarium_tissue_collected!$B:$B,[1]Herbarium_tissue_collected!$E:$E)</f>
        <v>1993</v>
      </c>
    </row>
    <row r="82" spans="1:19" x14ac:dyDescent="0.2">
      <c r="A82" t="s">
        <v>53</v>
      </c>
      <c r="B82" t="s">
        <v>23</v>
      </c>
      <c r="C82" s="3">
        <v>1493728</v>
      </c>
      <c r="D82" s="3" t="str">
        <f>_xlfn.XLOOKUP(C82,[1]Herbarium_tissue_collected!$B:$B,[1]Herbarium_tissue_collected!$D:$D)</f>
        <v>UCR0111504</v>
      </c>
      <c r="E82" s="3" t="s">
        <v>151</v>
      </c>
      <c r="F82" s="3" t="str">
        <f>_xlfn.XLOOKUP(C82,[1]Herbarium_tissue_collected!$B:$B,[1]Herbarium_tissue_collected!$F:$F)</f>
        <v>4 axiallary buds</v>
      </c>
      <c r="G82" s="3" t="str">
        <f>_xlfn.XLOOKUP(C82,[1]Herbarium_tissue_collected!$B:$B,[1]Herbarium_tissue_collected!$G:$G)</f>
        <v xml:space="preserve">yes, cauline with cauline morphology </v>
      </c>
      <c r="H82" t="s">
        <v>29</v>
      </c>
      <c r="N82">
        <f>_xlfn.XLOOKUP(C82,[1]Herbarium_tissue_collected!$B:$B,[1]Herbarium_tissue_collected!$E:$E)</f>
        <v>1993</v>
      </c>
    </row>
    <row r="83" spans="1:19" x14ac:dyDescent="0.2">
      <c r="A83" t="s">
        <v>53</v>
      </c>
      <c r="B83" t="s">
        <v>23</v>
      </c>
      <c r="C83" s="3">
        <v>1467990</v>
      </c>
      <c r="D83" s="3" t="str">
        <f>_xlfn.XLOOKUP(C83,[1]Herbarium_tissue_collected!$B:$B,[1]Herbarium_tissue_collected!$D:$D)</f>
        <v>UCR0083342</v>
      </c>
      <c r="E83" s="3" t="s">
        <v>152</v>
      </c>
      <c r="F83" s="3" t="str">
        <f>_xlfn.XLOOKUP(C83,[1]Herbarium_tissue_collected!$B:$B,[1]Herbarium_tissue_collected!$F:$F)</f>
        <v>3 axiallary bud, 1 little leaf</v>
      </c>
      <c r="G83" s="3" t="str">
        <f>_xlfn.XLOOKUP(C83,[1]Herbarium_tissue_collected!$B:$B,[1]Herbarium_tissue_collected!$G:$G)</f>
        <v>yes, basal</v>
      </c>
      <c r="H83" t="s">
        <v>29</v>
      </c>
      <c r="N83">
        <f>_xlfn.XLOOKUP(C83,[1]Herbarium_tissue_collected!$B:$B,[1]Herbarium_tissue_collected!$E:$E)</f>
        <v>1996</v>
      </c>
    </row>
    <row r="84" spans="1:19" x14ac:dyDescent="0.2">
      <c r="A84" t="s">
        <v>53</v>
      </c>
      <c r="B84" t="s">
        <v>23</v>
      </c>
      <c r="C84" s="3">
        <v>1474360</v>
      </c>
      <c r="D84" s="3" t="str">
        <f>_xlfn.XLOOKUP(C84,[1]Herbarium_tissue_collected!$B:$B,[1]Herbarium_tissue_collected!$D:$D)</f>
        <v>UCR0083338</v>
      </c>
      <c r="E84" s="3" t="s">
        <v>153</v>
      </c>
      <c r="F84" s="3" t="str">
        <f>_xlfn.XLOOKUP(C84,[1]Herbarium_tissue_collected!$B:$B,[1]Herbarium_tissue_collected!$F:$F)</f>
        <v>3 axiallary buds</v>
      </c>
      <c r="G84" s="3" t="str">
        <f>_xlfn.XLOOKUP(C84,[1]Herbarium_tissue_collected!$B:$B,[1]Herbarium_tissue_collected!$G:$G)</f>
        <v>yes, basal</v>
      </c>
      <c r="H84" t="s">
        <v>29</v>
      </c>
      <c r="I84" t="s">
        <v>284</v>
      </c>
      <c r="K84" t="s">
        <v>29</v>
      </c>
      <c r="N84">
        <f>_xlfn.XLOOKUP(C84,[1]Herbarium_tissue_collected!$B:$B,[1]Herbarium_tissue_collected!$E:$E)</f>
        <v>1997</v>
      </c>
    </row>
    <row r="85" spans="1:19" x14ac:dyDescent="0.2">
      <c r="A85" t="s">
        <v>53</v>
      </c>
      <c r="B85" t="s">
        <v>24</v>
      </c>
      <c r="C85">
        <v>469025</v>
      </c>
      <c r="D85" s="3" t="str">
        <f>_xlfn.XLOOKUP(C85,[1]Herbarium_tissue_collected!$B:$B,[1]Herbarium_tissue_collected!$D:$D)</f>
        <v>SD00062738</v>
      </c>
      <c r="E85" s="3" t="s">
        <v>154</v>
      </c>
      <c r="F85" s="3" t="str">
        <f>_xlfn.XLOOKUP(C85,[1]Herbarium_tissue_collected!$B:$B,[1]Herbarium_tissue_collected!$F:$F)</f>
        <v>several bud clusters and extra buds</v>
      </c>
      <c r="G85" s="3" t="str">
        <f>_xlfn.XLOOKUP(C85,[1]Herbarium_tissue_collected!$B:$B,[1]Herbarium_tissue_collected!$G:$G)</f>
        <v>yes, cauline with basal morphology</v>
      </c>
      <c r="H85" t="s">
        <v>29</v>
      </c>
      <c r="I85" t="s">
        <v>83</v>
      </c>
      <c r="N85">
        <f>_xlfn.XLOOKUP(C85,[1]Herbarium_tissue_collected!$B:$B,[1]Herbarium_tissue_collected!$E:$E)</f>
        <v>2000</v>
      </c>
      <c r="S85" t="s">
        <v>82</v>
      </c>
    </row>
    <row r="86" spans="1:19" x14ac:dyDescent="0.2">
      <c r="A86" t="s">
        <v>53</v>
      </c>
      <c r="B86" t="s">
        <v>24</v>
      </c>
      <c r="C86">
        <v>469031</v>
      </c>
      <c r="D86" s="3" t="str">
        <f>_xlfn.XLOOKUP(C86,[1]Herbarium_tissue_collected!$B:$B,[1]Herbarium_tissue_collected!$D:$D)</f>
        <v>SD00062660</v>
      </c>
      <c r="E86" s="3" t="s">
        <v>155</v>
      </c>
      <c r="F86" s="3" t="str">
        <f>_xlfn.XLOOKUP(C86,[1]Herbarium_tissue_collected!$B:$B,[1]Herbarium_tissue_collected!$F:$F)</f>
        <v>several axiallary buds</v>
      </c>
      <c r="G86" s="3" t="str">
        <f>_xlfn.XLOOKUP(C86,[1]Herbarium_tissue_collected!$B:$B,[1]Herbarium_tissue_collected!$G:$G)</f>
        <v>yes, cauline</v>
      </c>
      <c r="H86" t="s">
        <v>29</v>
      </c>
      <c r="I86" t="s">
        <v>83</v>
      </c>
      <c r="N86">
        <f>_xlfn.XLOOKUP(C86,[1]Herbarium_tissue_collected!$B:$B,[1]Herbarium_tissue_collected!$E:$E)</f>
        <v>2003</v>
      </c>
    </row>
    <row r="87" spans="1:19" x14ac:dyDescent="0.2">
      <c r="A87" t="s">
        <v>53</v>
      </c>
      <c r="B87" t="s">
        <v>24</v>
      </c>
      <c r="C87">
        <v>469053</v>
      </c>
      <c r="D87" s="3" t="str">
        <f>_xlfn.XLOOKUP(C87,[1]Herbarium_tissue_collected!$B:$B,[1]Herbarium_tissue_collected!$D:$D)</f>
        <v>SD00062753</v>
      </c>
      <c r="E87" s="3" t="s">
        <v>156</v>
      </c>
      <c r="F87" s="3" t="str">
        <f>_xlfn.XLOOKUP(C87,[1]Herbarium_tissue_collected!$B:$B,[1]Herbarium_tissue_collected!$F:$F)</f>
        <v>3 axiallary bud, 1 little leaf</v>
      </c>
      <c r="G87" s="3" t="str">
        <f>_xlfn.XLOOKUP(C87,[1]Herbarium_tissue_collected!$B:$B,[1]Herbarium_tissue_collected!$G:$G)</f>
        <v xml:space="preserve">yes, cauline with cauline morphology </v>
      </c>
      <c r="H87" t="s">
        <v>29</v>
      </c>
      <c r="I87" t="s">
        <v>83</v>
      </c>
      <c r="N87">
        <f>_xlfn.XLOOKUP(C87,[1]Herbarium_tissue_collected!$B:$B,[1]Herbarium_tissue_collected!$E:$E)</f>
        <v>2003</v>
      </c>
    </row>
    <row r="88" spans="1:19" x14ac:dyDescent="0.2">
      <c r="A88" t="s">
        <v>53</v>
      </c>
      <c r="B88" t="s">
        <v>24</v>
      </c>
      <c r="C88">
        <v>389892</v>
      </c>
      <c r="D88" s="3" t="str">
        <f>_xlfn.XLOOKUP(C88,[1]Herbarium_tissue_collected!$B:$B,[1]Herbarium_tissue_collected!$D:$D)</f>
        <v>SDSU15680</v>
      </c>
      <c r="E88" s="3" t="s">
        <v>157</v>
      </c>
      <c r="F88" s="3" t="str">
        <f>_xlfn.XLOOKUP(C88,[1]Herbarium_tissue_collected!$B:$B,[1]Herbarium_tissue_collected!$F:$F)</f>
        <v>few axillary buds</v>
      </c>
      <c r="G88" s="3" t="str">
        <f>_xlfn.XLOOKUP(C88,[1]Herbarium_tissue_collected!$B:$B,[1]Herbarium_tissue_collected!$G:$G)</f>
        <v>yes, cauline with basal morphology</v>
      </c>
      <c r="H88" t="s">
        <v>29</v>
      </c>
      <c r="I88" t="s">
        <v>83</v>
      </c>
      <c r="N88">
        <f>_xlfn.XLOOKUP(C88,[1]Herbarium_tissue_collected!$B:$B,[1]Herbarium_tissue_collected!$E:$E)</f>
        <v>2003</v>
      </c>
    </row>
    <row r="89" spans="1:19" x14ac:dyDescent="0.2">
      <c r="A89" t="s">
        <v>53</v>
      </c>
      <c r="B89" t="s">
        <v>24</v>
      </c>
      <c r="C89">
        <v>469058</v>
      </c>
      <c r="D89" s="3" t="str">
        <f>_xlfn.XLOOKUP(C89,[1]Herbarium_tissue_collected!$B:$B,[1]Herbarium_tissue_collected!$D:$D)</f>
        <v>SD00062561</v>
      </c>
      <c r="E89" s="3" t="s">
        <v>158</v>
      </c>
      <c r="F89" s="3" t="str">
        <f>_xlfn.XLOOKUP(C89,[1]Herbarium_tissue_collected!$B:$B,[1]Herbarium_tissue_collected!$F:$F)</f>
        <v>several bud clusters</v>
      </c>
      <c r="G89" s="3" t="str">
        <f>_xlfn.XLOOKUP(C89,[1]Herbarium_tissue_collected!$B:$B,[1]Herbarium_tissue_collected!$G:$G)</f>
        <v>yes, cauline with basal morphology</v>
      </c>
      <c r="H89" t="s">
        <v>29</v>
      </c>
      <c r="I89" t="s">
        <v>83</v>
      </c>
      <c r="N89">
        <f>_xlfn.XLOOKUP(C89,[1]Herbarium_tissue_collected!$B:$B,[1]Herbarium_tissue_collected!$E:$E)</f>
        <v>2004</v>
      </c>
    </row>
    <row r="90" spans="1:19" x14ac:dyDescent="0.2">
      <c r="A90" t="s">
        <v>53</v>
      </c>
      <c r="B90" t="s">
        <v>24</v>
      </c>
      <c r="C90">
        <v>469055</v>
      </c>
      <c r="D90" s="3" t="str">
        <f>_xlfn.XLOOKUP(C90,[1]Herbarium_tissue_collected!$B:$B,[1]Herbarium_tissue_collected!$D:$D)</f>
        <v>SD00062752</v>
      </c>
      <c r="E90" s="3" t="s">
        <v>159</v>
      </c>
      <c r="F90" s="3" t="str">
        <f>_xlfn.XLOOKUP(C90,[1]Herbarium_tissue_collected!$B:$B,[1]Herbarium_tissue_collected!$F:$F)</f>
        <v>6 axillary buds</v>
      </c>
      <c r="G90" s="3" t="str">
        <f>_xlfn.XLOOKUP(C90,[1]Herbarium_tissue_collected!$B:$B,[1]Herbarium_tissue_collected!$G:$G)</f>
        <v>yes, cauline w/ intermediate morphology</v>
      </c>
      <c r="H90" t="s">
        <v>29</v>
      </c>
      <c r="I90" t="s">
        <v>83</v>
      </c>
      <c r="N90">
        <f>_xlfn.XLOOKUP(C90,[1]Herbarium_tissue_collected!$B:$B,[1]Herbarium_tissue_collected!$E:$E)</f>
        <v>2004</v>
      </c>
    </row>
    <row r="91" spans="1:19" x14ac:dyDescent="0.2">
      <c r="A91" t="s">
        <v>53</v>
      </c>
      <c r="B91" t="s">
        <v>24</v>
      </c>
      <c r="C91">
        <v>469040</v>
      </c>
      <c r="D91" s="3" t="str">
        <f>_xlfn.XLOOKUP(C91,[1]Herbarium_tissue_collected!$B:$B,[1]Herbarium_tissue_collected!$D:$D)</f>
        <v>SD00062685</v>
      </c>
      <c r="E91" s="3" t="s">
        <v>160</v>
      </c>
      <c r="F91" s="3" t="str">
        <f>_xlfn.XLOOKUP(C91,[1]Herbarium_tissue_collected!$B:$B,[1]Herbarium_tissue_collected!$F:$F)</f>
        <v>3 axillary bud, 1 terminal</v>
      </c>
      <c r="G91" s="3" t="str">
        <f>_xlfn.XLOOKUP(C91,[1]Herbarium_tissue_collected!$B:$B,[1]Herbarium_tissue_collected!$G:$G)</f>
        <v>yes, cauline w/ intermediate morphology</v>
      </c>
      <c r="H91" t="s">
        <v>29</v>
      </c>
      <c r="I91" t="s">
        <v>83</v>
      </c>
      <c r="N91">
        <f>_xlfn.XLOOKUP(C91,[1]Herbarium_tissue_collected!$B:$B,[1]Herbarium_tissue_collected!$E:$E)</f>
        <v>2004</v>
      </c>
    </row>
    <row r="92" spans="1:19" x14ac:dyDescent="0.2">
      <c r="A92" t="s">
        <v>53</v>
      </c>
      <c r="B92" t="s">
        <v>24</v>
      </c>
      <c r="C92">
        <v>469078</v>
      </c>
      <c r="D92" s="3" t="str">
        <f>_xlfn.XLOOKUP(C92,[1]Herbarium_tissue_collected!$B:$B,[1]Herbarium_tissue_collected!$D:$D)</f>
        <v>SD00062639</v>
      </c>
      <c r="E92" s="3" t="s">
        <v>161</v>
      </c>
      <c r="F92" s="3" t="str">
        <f>_xlfn.XLOOKUP(C92,[1]Herbarium_tissue_collected!$B:$B,[1]Herbarium_tissue_collected!$F:$F)</f>
        <v>axillary buds and small leaves</v>
      </c>
      <c r="G92" s="3" t="str">
        <f>_xlfn.XLOOKUP(C92,[1]Herbarium_tissue_collected!$B:$B,[1]Herbarium_tissue_collected!$G:$G)</f>
        <v>yes, basal</v>
      </c>
      <c r="H92" t="s">
        <v>29</v>
      </c>
      <c r="I92" t="s">
        <v>83</v>
      </c>
      <c r="N92">
        <f>_xlfn.XLOOKUP(C92,[1]Herbarium_tissue_collected!$B:$B,[1]Herbarium_tissue_collected!$E:$E)</f>
        <v>2004</v>
      </c>
    </row>
    <row r="93" spans="1:19" x14ac:dyDescent="0.2">
      <c r="A93" t="s">
        <v>53</v>
      </c>
      <c r="B93" t="s">
        <v>24</v>
      </c>
      <c r="C93">
        <v>469063</v>
      </c>
      <c r="D93" s="3" t="str">
        <f>_xlfn.XLOOKUP(C93,[1]Herbarium_tissue_collected!$B:$B,[1]Herbarium_tissue_collected!$D:$D)</f>
        <v>SD00062589</v>
      </c>
      <c r="E93" s="3" t="s">
        <v>162</v>
      </c>
      <c r="F93" s="3" t="str">
        <f>_xlfn.XLOOKUP(C93,[1]Herbarium_tissue_collected!$B:$B,[1]Herbarium_tissue_collected!$F:$F)</f>
        <v>3 axiallary buds; one massive terminal bud cluster</v>
      </c>
      <c r="G93" s="3" t="str">
        <f>_xlfn.XLOOKUP(C93,[1]Herbarium_tissue_collected!$B:$B,[1]Herbarium_tissue_collected!$G:$G)</f>
        <v>yes, cauline with basal morphology</v>
      </c>
      <c r="H93" t="s">
        <v>29</v>
      </c>
      <c r="I93" t="s">
        <v>83</v>
      </c>
      <c r="N93">
        <f>_xlfn.XLOOKUP(C93,[1]Herbarium_tissue_collected!$B:$B,[1]Herbarium_tissue_collected!$E:$E)</f>
        <v>2005</v>
      </c>
    </row>
    <row r="94" spans="1:19" x14ac:dyDescent="0.2">
      <c r="A94" t="s">
        <v>53</v>
      </c>
      <c r="B94" t="s">
        <v>24</v>
      </c>
      <c r="C94">
        <v>469065</v>
      </c>
      <c r="D94" s="3" t="str">
        <f>_xlfn.XLOOKUP(C94,[1]Herbarium_tissue_collected!$B:$B,[1]Herbarium_tissue_collected!$D:$D)</f>
        <v>SD00062735</v>
      </c>
      <c r="E94" s="3" t="s">
        <v>163</v>
      </c>
      <c r="F94" s="3" t="str">
        <f>_xlfn.XLOOKUP(C94,[1]Herbarium_tissue_collected!$B:$B,[1]Herbarium_tissue_collected!$F:$F)</f>
        <v>2 axillary buds, 1 terminal bud cluster</v>
      </c>
      <c r="G94" s="3" t="str">
        <f>_xlfn.XLOOKUP(C94,[1]Herbarium_tissue_collected!$B:$B,[1]Herbarium_tissue_collected!$G:$G)</f>
        <v>yes, cauline w/ intermediate morphology</v>
      </c>
      <c r="H94" t="s">
        <v>29</v>
      </c>
      <c r="I94" t="s">
        <v>83</v>
      </c>
      <c r="N94">
        <f>_xlfn.XLOOKUP(C94,[1]Herbarium_tissue_collected!$B:$B,[1]Herbarium_tissue_collected!$E:$E)</f>
        <v>2005</v>
      </c>
    </row>
    <row r="95" spans="1:19" x14ac:dyDescent="0.2">
      <c r="A95" t="s">
        <v>53</v>
      </c>
      <c r="B95" t="s">
        <v>24</v>
      </c>
      <c r="C95">
        <v>469079</v>
      </c>
      <c r="D95" s="3" t="str">
        <f>_xlfn.XLOOKUP(C95,[1]Herbarium_tissue_collected!$B:$B,[1]Herbarium_tissue_collected!$D:$D)</f>
        <v>SD00062691</v>
      </c>
      <c r="E95" s="3" t="s">
        <v>164</v>
      </c>
      <c r="F95" s="3">
        <f>_xlfn.XLOOKUP(C95,[1]Herbarium_tissue_collected!$B:$B,[1]Herbarium_tissue_collected!$F:$F)</f>
        <v>0</v>
      </c>
      <c r="G95" s="3" t="str">
        <f>_xlfn.XLOOKUP(C95,[1]Herbarium_tissue_collected!$B:$B,[1]Herbarium_tissue_collected!$G:$G)</f>
        <v>yes, cauline with basal morphology</v>
      </c>
      <c r="H95" t="s">
        <v>29</v>
      </c>
      <c r="I95" t="s">
        <v>83</v>
      </c>
      <c r="N95">
        <f>_xlfn.XLOOKUP(C95,[1]Herbarium_tissue_collected!$B:$B,[1]Herbarium_tissue_collected!$E:$E)</f>
        <v>2005</v>
      </c>
    </row>
    <row r="96" spans="1:19" x14ac:dyDescent="0.2">
      <c r="A96" t="s">
        <v>53</v>
      </c>
      <c r="B96" t="s">
        <v>24</v>
      </c>
      <c r="C96">
        <v>469126</v>
      </c>
      <c r="D96" s="3" t="str">
        <f>_xlfn.XLOOKUP(C96,[1]Herbarium_tissue_collected!$B:$B,[1]Herbarium_tissue_collected!$D:$D)</f>
        <v>SD00062682</v>
      </c>
      <c r="E96" s="3" t="s">
        <v>165</v>
      </c>
      <c r="F96" s="3" t="str">
        <f>_xlfn.XLOOKUP(C96,[1]Herbarium_tissue_collected!$B:$B,[1]Herbarium_tissue_collected!$F:$F)</f>
        <v>3 apical bud clusters</v>
      </c>
      <c r="G96" s="3" t="str">
        <f>_xlfn.XLOOKUP(C96,[1]Herbarium_tissue_collected!$B:$B,[1]Herbarium_tissue_collected!$G:$G)</f>
        <v xml:space="preserve">yes, cauline with cauline morphology </v>
      </c>
      <c r="H96" t="s">
        <v>29</v>
      </c>
      <c r="I96" t="s">
        <v>83</v>
      </c>
      <c r="N96">
        <f>_xlfn.XLOOKUP(C96,[1]Herbarium_tissue_collected!$B:$B,[1]Herbarium_tissue_collected!$E:$E)</f>
        <v>2006</v>
      </c>
    </row>
    <row r="97" spans="1:14" x14ac:dyDescent="0.2">
      <c r="A97" t="s">
        <v>53</v>
      </c>
      <c r="B97" t="s">
        <v>24</v>
      </c>
      <c r="C97">
        <v>469115</v>
      </c>
      <c r="D97" s="3" t="str">
        <f>_xlfn.XLOOKUP(C97,[1]Herbarium_tissue_collected!$B:$B,[1]Herbarium_tissue_collected!$D:$D)</f>
        <v>SD00062731</v>
      </c>
      <c r="E97" s="3" t="s">
        <v>166</v>
      </c>
      <c r="F97" s="3" t="str">
        <f>_xlfn.XLOOKUP(C97,[1]Herbarium_tissue_collected!$B:$B,[1]Herbarium_tissue_collected!$F:$F)</f>
        <v>5 axillary buds</v>
      </c>
      <c r="G97" s="3" t="str">
        <f>_xlfn.XLOOKUP(C97,[1]Herbarium_tissue_collected!$B:$B,[1]Herbarium_tissue_collected!$G:$G)</f>
        <v>yes, cauline w/ intermediate morphology</v>
      </c>
      <c r="H97" t="s">
        <v>29</v>
      </c>
      <c r="I97" t="s">
        <v>83</v>
      </c>
      <c r="N97">
        <f>_xlfn.XLOOKUP(C97,[1]Herbarium_tissue_collected!$B:$B,[1]Herbarium_tissue_collected!$E:$E)</f>
        <v>2006</v>
      </c>
    </row>
    <row r="98" spans="1:14" x14ac:dyDescent="0.2">
      <c r="A98" t="s">
        <v>53</v>
      </c>
      <c r="B98" t="s">
        <v>24</v>
      </c>
      <c r="C98">
        <v>469111</v>
      </c>
      <c r="D98" s="3" t="str">
        <f>_xlfn.XLOOKUP(C98,[1]Herbarium_tissue_collected!$B:$B,[1]Herbarium_tissue_collected!$D:$D)</f>
        <v>SD00062628</v>
      </c>
      <c r="E98" s="3" t="s">
        <v>167</v>
      </c>
      <c r="F98" s="3" t="str">
        <f>_xlfn.XLOOKUP(C98,[1]Herbarium_tissue_collected!$B:$B,[1]Herbarium_tissue_collected!$F:$F)</f>
        <v>4 axiallary buds</v>
      </c>
      <c r="G98" s="3" t="str">
        <f>_xlfn.XLOOKUP(C98,[1]Herbarium_tissue_collected!$B:$B,[1]Herbarium_tissue_collected!$G:$G)</f>
        <v>yes, cauline</v>
      </c>
      <c r="H98" t="s">
        <v>29</v>
      </c>
      <c r="I98" t="s">
        <v>83</v>
      </c>
      <c r="N98">
        <f>_xlfn.XLOOKUP(C98,[1]Herbarium_tissue_collected!$B:$B,[1]Herbarium_tissue_collected!$E:$E)</f>
        <v>2007</v>
      </c>
    </row>
    <row r="99" spans="1:14" x14ac:dyDescent="0.2">
      <c r="A99" t="s">
        <v>53</v>
      </c>
      <c r="B99" t="s">
        <v>24</v>
      </c>
      <c r="C99">
        <v>469107</v>
      </c>
      <c r="D99" s="3" t="str">
        <f>_xlfn.XLOOKUP(C99,[1]Herbarium_tissue_collected!$B:$B,[1]Herbarium_tissue_collected!$D:$D)</f>
        <v>SD00062630</v>
      </c>
      <c r="E99" s="3" t="s">
        <v>168</v>
      </c>
      <c r="F99" s="3" t="str">
        <f>_xlfn.XLOOKUP(C99,[1]Herbarium_tissue_collected!$B:$B,[1]Herbarium_tissue_collected!$F:$F)</f>
        <v>1 terminal  multi-bud cluster</v>
      </c>
      <c r="G99" s="3" t="str">
        <f>_xlfn.XLOOKUP(C99,[1]Herbarium_tissue_collected!$B:$B,[1]Herbarium_tissue_collected!$G:$G)</f>
        <v>yes, cauline with basal morphology</v>
      </c>
      <c r="H99" t="s">
        <v>29</v>
      </c>
      <c r="I99" t="s">
        <v>83</v>
      </c>
      <c r="N99">
        <f>_xlfn.XLOOKUP(C99,[1]Herbarium_tissue_collected!$B:$B,[1]Herbarium_tissue_collected!$E:$E)</f>
        <v>2007</v>
      </c>
    </row>
    <row r="100" spans="1:14" x14ac:dyDescent="0.2">
      <c r="A100" t="s">
        <v>53</v>
      </c>
      <c r="B100" t="s">
        <v>24</v>
      </c>
      <c r="C100">
        <v>469123</v>
      </c>
      <c r="D100" s="3" t="str">
        <f>_xlfn.XLOOKUP(C100,[1]Herbarium_tissue_collected!$B:$B,[1]Herbarium_tissue_collected!$D:$D)</f>
        <v>SD00062583</v>
      </c>
      <c r="E100" s="3" t="s">
        <v>169</v>
      </c>
      <c r="F100" s="3" t="str">
        <f>_xlfn.XLOOKUP(C100,[1]Herbarium_tissue_collected!$B:$B,[1]Herbarium_tissue_collected!$F:$F)</f>
        <v>axillary bud, small leaf, floral bud clusters</v>
      </c>
      <c r="G100" s="9" t="str">
        <f>_xlfn.XLOOKUP(C100,[1]Herbarium_tissue_collected!$B:$B,[1]Herbarium_tissue_collected!$G:$G)</f>
        <v>no</v>
      </c>
      <c r="H100" t="s">
        <v>29</v>
      </c>
      <c r="I100" t="s">
        <v>83</v>
      </c>
      <c r="N100">
        <f>_xlfn.XLOOKUP(C100,[1]Herbarium_tissue_collected!$B:$B,[1]Herbarium_tissue_collected!$E:$E)</f>
        <v>2009</v>
      </c>
    </row>
    <row r="101" spans="1:14" x14ac:dyDescent="0.2">
      <c r="A101" t="s">
        <v>53</v>
      </c>
      <c r="B101" t="s">
        <v>25</v>
      </c>
      <c r="C101">
        <v>3700296</v>
      </c>
      <c r="D101" s="3" t="str">
        <f>_xlfn.XLOOKUP(C101,[1]Herbarium_tissue_collected!$B:$B,[1]Herbarium_tissue_collected!$D:$D)</f>
        <v>SD00030202</v>
      </c>
      <c r="E101" s="3" t="s">
        <v>170</v>
      </c>
      <c r="F101" s="3" t="str">
        <f>_xlfn.XLOOKUP(C101,[1]Herbarium_tissue_collected!$B:$B,[1]Herbarium_tissue_collected!$F:$F)</f>
        <v>several tiny axillary buds</v>
      </c>
      <c r="G101" s="3" t="str">
        <f>_xlfn.XLOOKUP(C101,[1]Herbarium_tissue_collected!$B:$B,[1]Herbarium_tissue_collected!$G:$G)</f>
        <v>yes, basal</v>
      </c>
      <c r="H101" t="s">
        <v>29</v>
      </c>
      <c r="I101" t="s">
        <v>83</v>
      </c>
      <c r="N101">
        <f>_xlfn.XLOOKUP(C101,[1]Herbarium_tissue_collected!$B:$B,[1]Herbarium_tissue_collected!$E:$E)</f>
        <v>2010</v>
      </c>
    </row>
    <row r="102" spans="1:14" x14ac:dyDescent="0.2">
      <c r="A102" t="s">
        <v>53</v>
      </c>
      <c r="B102" t="s">
        <v>25</v>
      </c>
      <c r="C102">
        <v>469136</v>
      </c>
      <c r="D102" s="3" t="str">
        <f>_xlfn.XLOOKUP(C102,[1]Herbarium_tissue_collected!$B:$B,[1]Herbarium_tissue_collected!$D:$D)</f>
        <v>SD00062776</v>
      </c>
      <c r="E102" s="3" t="s">
        <v>171</v>
      </c>
      <c r="F102" s="3" t="str">
        <f>_xlfn.XLOOKUP(C102,[1]Herbarium_tissue_collected!$B:$B,[1]Herbarium_tissue_collected!$F:$F)</f>
        <v>several axiallary buds</v>
      </c>
      <c r="G102" s="3" t="str">
        <f>_xlfn.XLOOKUP(C102,[1]Herbarium_tissue_collected!$B:$B,[1]Herbarium_tissue_collected!$G:$G)</f>
        <v>yes, basal</v>
      </c>
      <c r="H102" t="s">
        <v>29</v>
      </c>
      <c r="I102" t="s">
        <v>83</v>
      </c>
      <c r="N102">
        <f>_xlfn.XLOOKUP(C102,[1]Herbarium_tissue_collected!$B:$B,[1]Herbarium_tissue_collected!$E:$E)</f>
        <v>2012</v>
      </c>
    </row>
    <row r="103" spans="1:14" x14ac:dyDescent="0.2">
      <c r="A103" t="s">
        <v>53</v>
      </c>
      <c r="B103" t="s">
        <v>25</v>
      </c>
      <c r="C103">
        <v>469138</v>
      </c>
      <c r="D103" s="3" t="str">
        <f>_xlfn.XLOOKUP(C103,[1]Herbarium_tissue_collected!$B:$B,[1]Herbarium_tissue_collected!$D:$D)</f>
        <v>SD00062775</v>
      </c>
      <c r="E103" s="3" t="s">
        <v>172</v>
      </c>
      <c r="F103" s="3" t="str">
        <f>_xlfn.XLOOKUP(C103,[1]Herbarium_tissue_collected!$B:$B,[1]Herbarium_tissue_collected!$F:$F)</f>
        <v>6 axillary buds</v>
      </c>
      <c r="G103" s="3" t="str">
        <f>_xlfn.XLOOKUP(C103,[1]Herbarium_tissue_collected!$B:$B,[1]Herbarium_tissue_collected!$G:$G)</f>
        <v>yes, cauline w/ intermediate morphology</v>
      </c>
      <c r="H103" t="s">
        <v>29</v>
      </c>
      <c r="I103" t="s">
        <v>83</v>
      </c>
      <c r="N103">
        <f>_xlfn.XLOOKUP(C103,[1]Herbarium_tissue_collected!$B:$B,[1]Herbarium_tissue_collected!$E:$E)</f>
        <v>2012</v>
      </c>
    </row>
    <row r="104" spans="1:14" x14ac:dyDescent="0.2">
      <c r="A104" t="s">
        <v>53</v>
      </c>
      <c r="B104" t="s">
        <v>25</v>
      </c>
      <c r="C104">
        <v>469139</v>
      </c>
      <c r="D104" s="3" t="str">
        <f>_xlfn.XLOOKUP(C104,[1]Herbarium_tissue_collected!$B:$B,[1]Herbarium_tissue_collected!$D:$D)</f>
        <v>SD00062706</v>
      </c>
      <c r="E104" s="3" t="s">
        <v>173</v>
      </c>
      <c r="F104" s="3" t="str">
        <f>_xlfn.XLOOKUP(C104,[1]Herbarium_tissue_collected!$B:$B,[1]Herbarium_tissue_collected!$F:$F)</f>
        <v>few axillary and one floral bud cluster</v>
      </c>
      <c r="G104" s="3" t="str">
        <f>_xlfn.XLOOKUP(C104,[1]Herbarium_tissue_collected!$B:$B,[1]Herbarium_tissue_collected!$G:$G)</f>
        <v>yes, cauline w/ intermediate morphology</v>
      </c>
      <c r="H104" t="s">
        <v>29</v>
      </c>
      <c r="I104" t="s">
        <v>83</v>
      </c>
      <c r="N104">
        <f>_xlfn.XLOOKUP(C104,[1]Herbarium_tissue_collected!$B:$B,[1]Herbarium_tissue_collected!$E:$E)</f>
        <v>2012</v>
      </c>
    </row>
    <row r="105" spans="1:14" x14ac:dyDescent="0.2">
      <c r="A105" t="s">
        <v>53</v>
      </c>
      <c r="B105" t="s">
        <v>25</v>
      </c>
      <c r="C105">
        <v>394122</v>
      </c>
      <c r="D105" s="3" t="str">
        <f>_xlfn.XLOOKUP(C105,[1]Herbarium_tissue_collected!$B:$B,[1]Herbarium_tissue_collected!$D:$D)</f>
        <v>SDSU19952</v>
      </c>
      <c r="E105" s="3" t="s">
        <v>174</v>
      </c>
      <c r="F105" s="3" t="str">
        <f>_xlfn.XLOOKUP(C105,[1]Herbarium_tissue_collected!$B:$B,[1]Herbarium_tissue_collected!$F:$F)</f>
        <v>buds, maybe an axillary bud</v>
      </c>
      <c r="G105" s="3" t="str">
        <f>_xlfn.XLOOKUP(C105,[1]Herbarium_tissue_collected!$B:$B,[1]Herbarium_tissue_collected!$G:$G)</f>
        <v>yes, basal</v>
      </c>
      <c r="H105" t="s">
        <v>29</v>
      </c>
      <c r="I105" t="s">
        <v>83</v>
      </c>
      <c r="N105">
        <f>_xlfn.XLOOKUP(C105,[1]Herbarium_tissue_collected!$B:$B,[1]Herbarium_tissue_collected!$E:$E)</f>
        <v>2012</v>
      </c>
    </row>
    <row r="106" spans="1:14" x14ac:dyDescent="0.2">
      <c r="A106" t="s">
        <v>53</v>
      </c>
      <c r="B106" t="s">
        <v>25</v>
      </c>
      <c r="C106">
        <v>394165</v>
      </c>
      <c r="D106" s="3" t="str">
        <f>_xlfn.XLOOKUP(C106,[1]Herbarium_tissue_collected!$B:$B,[1]Herbarium_tissue_collected!$D:$D)</f>
        <v>SDSU19995</v>
      </c>
      <c r="E106" s="3" t="s">
        <v>175</v>
      </c>
      <c r="F106" s="3" t="str">
        <f>_xlfn.XLOOKUP(C106,[1]Herbarium_tissue_collected!$B:$B,[1]Herbarium_tissue_collected!$F:$F)</f>
        <v>buds, maybe an axillary bud</v>
      </c>
      <c r="G106" s="3" t="str">
        <f>_xlfn.XLOOKUP(C106,[1]Herbarium_tissue_collected!$B:$B,[1]Herbarium_tissue_collected!$G:$G)</f>
        <v>yes, basal</v>
      </c>
      <c r="H106" t="s">
        <v>29</v>
      </c>
      <c r="I106" t="s">
        <v>83</v>
      </c>
      <c r="N106">
        <f>_xlfn.XLOOKUP(C106,[1]Herbarium_tissue_collected!$B:$B,[1]Herbarium_tissue_collected!$E:$E)</f>
        <v>2012</v>
      </c>
    </row>
    <row r="107" spans="1:14" x14ac:dyDescent="0.2">
      <c r="A107" t="s">
        <v>28</v>
      </c>
      <c r="B107" t="s">
        <v>5</v>
      </c>
      <c r="C107">
        <v>3351467</v>
      </c>
      <c r="D107" s="3" t="str">
        <f>_xlfn.XLOOKUP(C107,[1]Herbarium_tissue_collected!$B:$B,[1]Herbarium_tissue_collected!$D:$D)</f>
        <v>JEPS53818</v>
      </c>
      <c r="E107" s="3" t="s">
        <v>176</v>
      </c>
      <c r="F107" s="3" t="str">
        <f>_xlfn.XLOOKUP(C107,[1]Herbarium_tissue_collected!$B:$B,[1]Herbarium_tissue_collected!$F:$F)</f>
        <v>1 axiallary bud cluster, 2 apical bud clusters, extra buds</v>
      </c>
      <c r="G107" s="3" t="str">
        <f>_xlfn.XLOOKUP(C107,[1]Herbarium_tissue_collected!$B:$B,[1]Herbarium_tissue_collected!$G:$G)</f>
        <v>yes, cauline</v>
      </c>
      <c r="H107" t="s">
        <v>29</v>
      </c>
      <c r="N107">
        <f>_xlfn.XLOOKUP(C107,[1]Herbarium_tissue_collected!$B:$B,[1]Herbarium_tissue_collected!$E:$E)</f>
        <v>1884</v>
      </c>
    </row>
    <row r="108" spans="1:14" x14ac:dyDescent="0.2">
      <c r="A108" t="s">
        <v>28</v>
      </c>
      <c r="B108" t="s">
        <v>5</v>
      </c>
      <c r="C108" t="s">
        <v>30</v>
      </c>
      <c r="D108" s="3">
        <f>_xlfn.XLOOKUP(C108,[1]Herbarium_tissue_collected!$B:$B,[1]Herbarium_tissue_collected!$D:$D)</f>
        <v>74174</v>
      </c>
      <c r="E108" s="3">
        <v>74174</v>
      </c>
      <c r="F108" s="3" t="str">
        <f>_xlfn.XLOOKUP(C108,[1]Herbarium_tissue_collected!$B:$B,[1]Herbarium_tissue_collected!$F:$F)</f>
        <v>1 terminal bud cluster, a few loose buds</v>
      </c>
      <c r="G108" s="3" t="str">
        <f>_xlfn.XLOOKUP(C108,[1]Herbarium_tissue_collected!$B:$B,[1]Herbarium_tissue_collected!$G:$G)</f>
        <v>no</v>
      </c>
      <c r="H108" t="s">
        <v>29</v>
      </c>
      <c r="N108">
        <f>_xlfn.XLOOKUP(C108,[1]Herbarium_tissue_collected!$B:$B,[1]Herbarium_tissue_collected!$E:$E)</f>
        <v>1893</v>
      </c>
    </row>
    <row r="109" spans="1:14" x14ac:dyDescent="0.2">
      <c r="A109" t="s">
        <v>28</v>
      </c>
      <c r="B109" t="s">
        <v>6</v>
      </c>
      <c r="D109" s="3">
        <f>_xlfn.XLOOKUP(C109,[1]Herbarium_tissue_collected!$B:$B,[1]Herbarium_tissue_collected!$D:$D)</f>
        <v>0</v>
      </c>
      <c r="E109" s="3">
        <v>0</v>
      </c>
      <c r="F109" s="3">
        <f>_xlfn.XLOOKUP(C109,[1]Herbarium_tissue_collected!$B:$B,[1]Herbarium_tissue_collected!$F:$F)</f>
        <v>0</v>
      </c>
      <c r="G109" s="3">
        <f>_xlfn.XLOOKUP(C109,[1]Herbarium_tissue_collected!$B:$B,[1]Herbarium_tissue_collected!$G:$G)</f>
        <v>0</v>
      </c>
      <c r="N109">
        <f>_xlfn.XLOOKUP(C109,[1]Herbarium_tissue_collected!$B:$B,[1]Herbarium_tissue_collected!$E:$E)</f>
        <v>0</v>
      </c>
    </row>
    <row r="110" spans="1:14" x14ac:dyDescent="0.2">
      <c r="A110" t="s">
        <v>28</v>
      </c>
      <c r="B110" t="s">
        <v>6</v>
      </c>
      <c r="D110" s="3">
        <f>_xlfn.XLOOKUP(C110,[1]Herbarium_tissue_collected!$B:$B,[1]Herbarium_tissue_collected!$D:$D)</f>
        <v>0</v>
      </c>
      <c r="E110" s="3">
        <v>0</v>
      </c>
      <c r="F110" s="3">
        <f>_xlfn.XLOOKUP(C110,[1]Herbarium_tissue_collected!$B:$B,[1]Herbarium_tissue_collected!$F:$F)</f>
        <v>0</v>
      </c>
      <c r="G110" s="3">
        <f>_xlfn.XLOOKUP(C110,[1]Herbarium_tissue_collected!$B:$B,[1]Herbarium_tissue_collected!$G:$G)</f>
        <v>0</v>
      </c>
      <c r="N110">
        <f>_xlfn.XLOOKUP(C110,[1]Herbarium_tissue_collected!$B:$B,[1]Herbarium_tissue_collected!$E:$E)</f>
        <v>0</v>
      </c>
    </row>
    <row r="111" spans="1:14" x14ac:dyDescent="0.2">
      <c r="A111" t="s">
        <v>28</v>
      </c>
      <c r="B111" t="s">
        <v>6</v>
      </c>
      <c r="D111" s="3">
        <f>_xlfn.XLOOKUP(C111,[1]Herbarium_tissue_collected!$B:$B,[1]Herbarium_tissue_collected!$D:$D)</f>
        <v>0</v>
      </c>
      <c r="E111" s="3">
        <v>0</v>
      </c>
      <c r="F111" s="3">
        <f>_xlfn.XLOOKUP(C111,[1]Herbarium_tissue_collected!$B:$B,[1]Herbarium_tissue_collected!$F:$F)</f>
        <v>0</v>
      </c>
      <c r="G111" s="3">
        <f>_xlfn.XLOOKUP(C111,[1]Herbarium_tissue_collected!$B:$B,[1]Herbarium_tissue_collected!$G:$G)</f>
        <v>0</v>
      </c>
      <c r="N111">
        <f>_xlfn.XLOOKUP(C111,[1]Herbarium_tissue_collected!$B:$B,[1]Herbarium_tissue_collected!$E:$E)</f>
        <v>0</v>
      </c>
    </row>
    <row r="112" spans="1:14" x14ac:dyDescent="0.2">
      <c r="A112" t="s">
        <v>28</v>
      </c>
      <c r="B112" t="s">
        <v>6</v>
      </c>
      <c r="D112" s="3">
        <f>_xlfn.XLOOKUP(C112,[1]Herbarium_tissue_collected!$B:$B,[1]Herbarium_tissue_collected!$D:$D)</f>
        <v>0</v>
      </c>
      <c r="E112" s="3">
        <v>0</v>
      </c>
      <c r="F112" s="3">
        <f>_xlfn.XLOOKUP(C112,[1]Herbarium_tissue_collected!$B:$B,[1]Herbarium_tissue_collected!$F:$F)</f>
        <v>0</v>
      </c>
      <c r="G112" s="3">
        <f>_xlfn.XLOOKUP(C112,[1]Herbarium_tissue_collected!$B:$B,[1]Herbarium_tissue_collected!$G:$G)</f>
        <v>0</v>
      </c>
      <c r="N112">
        <f>_xlfn.XLOOKUP(C112,[1]Herbarium_tissue_collected!$B:$B,[1]Herbarium_tissue_collected!$E:$E)</f>
        <v>0</v>
      </c>
    </row>
    <row r="113" spans="1:19" x14ac:dyDescent="0.2">
      <c r="A113" t="s">
        <v>28</v>
      </c>
      <c r="B113" t="s">
        <v>6</v>
      </c>
      <c r="D113" s="3">
        <f>_xlfn.XLOOKUP(C113,[1]Herbarium_tissue_collected!$B:$B,[1]Herbarium_tissue_collected!$D:$D)</f>
        <v>0</v>
      </c>
      <c r="E113" s="3">
        <v>0</v>
      </c>
      <c r="F113" s="3">
        <f>_xlfn.XLOOKUP(C113,[1]Herbarium_tissue_collected!$B:$B,[1]Herbarium_tissue_collected!$F:$F)</f>
        <v>0</v>
      </c>
      <c r="G113" s="3">
        <f>_xlfn.XLOOKUP(C113,[1]Herbarium_tissue_collected!$B:$B,[1]Herbarium_tissue_collected!$G:$G)</f>
        <v>0</v>
      </c>
      <c r="N113">
        <f>_xlfn.XLOOKUP(C113,[1]Herbarium_tissue_collected!$B:$B,[1]Herbarium_tissue_collected!$E:$E)</f>
        <v>0</v>
      </c>
    </row>
    <row r="114" spans="1:19" x14ac:dyDescent="0.2">
      <c r="A114" t="s">
        <v>28</v>
      </c>
      <c r="B114" t="s">
        <v>7</v>
      </c>
      <c r="C114">
        <v>3258364</v>
      </c>
      <c r="D114" s="3" t="str">
        <f>_xlfn.XLOOKUP(C114,[1]Herbarium_tissue_collected!$B:$B,[1]Herbarium_tissue_collected!$D:$D)</f>
        <v>UC14322</v>
      </c>
      <c r="E114" s="3" t="s">
        <v>177</v>
      </c>
      <c r="F114" s="3" t="str">
        <f>_xlfn.XLOOKUP(C114,[1]Herbarium_tissue_collected!$B:$B,[1]Herbarium_tissue_collected!$F:$F)</f>
        <v>3 terminal bud clusters</v>
      </c>
      <c r="G114" s="3" t="str">
        <f>_xlfn.XLOOKUP(C114,[1]Herbarium_tissue_collected!$B:$B,[1]Herbarium_tissue_collected!$G:$G)</f>
        <v>yes, cauline, intermediate morphology</v>
      </c>
      <c r="H114" t="s">
        <v>29</v>
      </c>
      <c r="N114">
        <f>_xlfn.XLOOKUP(C114,[1]Herbarium_tissue_collected!$B:$B,[1]Herbarium_tissue_collected!$E:$E)</f>
        <v>1901</v>
      </c>
    </row>
    <row r="115" spans="1:19" x14ac:dyDescent="0.2">
      <c r="A115" t="s">
        <v>28</v>
      </c>
      <c r="B115" t="s">
        <v>7</v>
      </c>
      <c r="D115" s="3">
        <f>_xlfn.XLOOKUP(C115,[1]Herbarium_tissue_collected!$B:$B,[1]Herbarium_tissue_collected!$D:$D)</f>
        <v>0</v>
      </c>
      <c r="E115" s="3">
        <v>0</v>
      </c>
      <c r="F115" s="3">
        <f>_xlfn.XLOOKUP(C115,[1]Herbarium_tissue_collected!$B:$B,[1]Herbarium_tissue_collected!$F:$F)</f>
        <v>0</v>
      </c>
      <c r="G115" s="3">
        <f>_xlfn.XLOOKUP(C115,[1]Herbarium_tissue_collected!$B:$B,[1]Herbarium_tissue_collected!$G:$G)</f>
        <v>0</v>
      </c>
      <c r="N115">
        <f>_xlfn.XLOOKUP(C115,[1]Herbarium_tissue_collected!$B:$B,[1]Herbarium_tissue_collected!$E:$E)</f>
        <v>0</v>
      </c>
    </row>
    <row r="116" spans="1:19" x14ac:dyDescent="0.2">
      <c r="A116" t="s">
        <v>28</v>
      </c>
      <c r="B116" t="s">
        <v>7</v>
      </c>
      <c r="D116" s="3">
        <f>_xlfn.XLOOKUP(C116,[1]Herbarium_tissue_collected!$B:$B,[1]Herbarium_tissue_collected!$D:$D)</f>
        <v>0</v>
      </c>
      <c r="E116" s="3">
        <v>0</v>
      </c>
      <c r="F116" s="3">
        <f>_xlfn.XLOOKUP(C116,[1]Herbarium_tissue_collected!$B:$B,[1]Herbarium_tissue_collected!$F:$F)</f>
        <v>0</v>
      </c>
      <c r="G116" s="3">
        <f>_xlfn.XLOOKUP(C116,[1]Herbarium_tissue_collected!$B:$B,[1]Herbarium_tissue_collected!$G:$G)</f>
        <v>0</v>
      </c>
      <c r="N116">
        <f>_xlfn.XLOOKUP(C116,[1]Herbarium_tissue_collected!$B:$B,[1]Herbarium_tissue_collected!$E:$E)</f>
        <v>0</v>
      </c>
    </row>
    <row r="117" spans="1:19" x14ac:dyDescent="0.2">
      <c r="A117" t="s">
        <v>28</v>
      </c>
      <c r="B117" t="s">
        <v>7</v>
      </c>
      <c r="D117" s="3">
        <f>_xlfn.XLOOKUP(C117,[1]Herbarium_tissue_collected!$B:$B,[1]Herbarium_tissue_collected!$D:$D)</f>
        <v>0</v>
      </c>
      <c r="E117" s="3">
        <v>0</v>
      </c>
      <c r="F117" s="3">
        <f>_xlfn.XLOOKUP(C117,[1]Herbarium_tissue_collected!$B:$B,[1]Herbarium_tissue_collected!$F:$F)</f>
        <v>0</v>
      </c>
      <c r="G117" s="3">
        <f>_xlfn.XLOOKUP(C117,[1]Herbarium_tissue_collected!$B:$B,[1]Herbarium_tissue_collected!$G:$G)</f>
        <v>0</v>
      </c>
      <c r="N117">
        <f>_xlfn.XLOOKUP(C117,[1]Herbarium_tissue_collected!$B:$B,[1]Herbarium_tissue_collected!$E:$E)</f>
        <v>0</v>
      </c>
    </row>
    <row r="118" spans="1:19" x14ac:dyDescent="0.2">
      <c r="A118" t="s">
        <v>28</v>
      </c>
      <c r="B118" t="s">
        <v>7</v>
      </c>
      <c r="D118" s="3">
        <f>_xlfn.XLOOKUP(C118,[1]Herbarium_tissue_collected!$B:$B,[1]Herbarium_tissue_collected!$D:$D)</f>
        <v>0</v>
      </c>
      <c r="E118" s="3">
        <v>0</v>
      </c>
      <c r="F118" s="3">
        <f>_xlfn.XLOOKUP(C118,[1]Herbarium_tissue_collected!$B:$B,[1]Herbarium_tissue_collected!$F:$F)</f>
        <v>0</v>
      </c>
      <c r="G118" s="3">
        <f>_xlfn.XLOOKUP(C118,[1]Herbarium_tissue_collected!$B:$B,[1]Herbarium_tissue_collected!$G:$G)</f>
        <v>0</v>
      </c>
      <c r="N118">
        <f>_xlfn.XLOOKUP(C118,[1]Herbarium_tissue_collected!$B:$B,[1]Herbarium_tissue_collected!$E:$E)</f>
        <v>0</v>
      </c>
    </row>
    <row r="119" spans="1:19" x14ac:dyDescent="0.2">
      <c r="A119" t="s">
        <v>28</v>
      </c>
      <c r="B119" t="s">
        <v>8</v>
      </c>
      <c r="C119">
        <v>1368006</v>
      </c>
      <c r="D119" s="3" t="str">
        <f>_xlfn.XLOOKUP(C119,[1]Herbarium_tissue_collected!$B:$B,[1]Herbarium_tissue_collected!$D:$D)</f>
        <v>DAV310423</v>
      </c>
      <c r="E119" s="3" t="s">
        <v>178</v>
      </c>
      <c r="F119" s="3" t="str">
        <f>_xlfn.XLOOKUP(C119,[1]Herbarium_tissue_collected!$B:$B,[1]Herbarium_tissue_collected!$F:$F)</f>
        <v>6 axillary buds, 1 lil leaf</v>
      </c>
      <c r="G119" s="3" t="str">
        <f>_xlfn.XLOOKUP(C119,[1]Herbarium_tissue_collected!$B:$B,[1]Herbarium_tissue_collected!$G:$G)</f>
        <v>yes, cauline with basal morphology</v>
      </c>
      <c r="H119" t="s">
        <v>29</v>
      </c>
      <c r="I119" t="s">
        <v>284</v>
      </c>
      <c r="K119" t="s">
        <v>294</v>
      </c>
      <c r="N119">
        <f>_xlfn.XLOOKUP(C119,[1]Herbarium_tissue_collected!$B:$B,[1]Herbarium_tissue_collected!$E:$E)</f>
        <v>1914</v>
      </c>
    </row>
    <row r="120" spans="1:19" x14ac:dyDescent="0.2">
      <c r="A120" t="s">
        <v>28</v>
      </c>
      <c r="B120" t="s">
        <v>8</v>
      </c>
      <c r="C120">
        <v>2312024</v>
      </c>
      <c r="D120" s="3">
        <f>_xlfn.XLOOKUP(C120,[1]Herbarium_tissue_collected!$B:$B,[1]Herbarium_tissue_collected!$D:$D)</f>
        <v>74263</v>
      </c>
      <c r="E120" s="3">
        <v>74263</v>
      </c>
      <c r="F120" s="3" t="str">
        <f>_xlfn.XLOOKUP(C120,[1]Herbarium_tissue_collected!$B:$B,[1]Herbarium_tissue_collected!$F:$F)</f>
        <v>4 axiallary buds</v>
      </c>
      <c r="G120" s="3" t="str">
        <f>_xlfn.XLOOKUP(C120,[1]Herbarium_tissue_collected!$B:$B,[1]Herbarium_tissue_collected!$G:$G)</f>
        <v>yes, basal</v>
      </c>
      <c r="H120" t="s">
        <v>29</v>
      </c>
      <c r="I120" t="s">
        <v>287</v>
      </c>
      <c r="N120">
        <f>_xlfn.XLOOKUP(C120,[1]Herbarium_tissue_collected!$B:$B,[1]Herbarium_tissue_collected!$E:$E)</f>
        <v>1914</v>
      </c>
    </row>
    <row r="121" spans="1:19" x14ac:dyDescent="0.2">
      <c r="A121" t="s">
        <v>28</v>
      </c>
      <c r="B121" t="s">
        <v>8</v>
      </c>
      <c r="C121">
        <v>2363992</v>
      </c>
      <c r="D121" s="3">
        <f>_xlfn.XLOOKUP(C121,[1]Herbarium_tissue_collected!$B:$B,[1]Herbarium_tissue_collected!$D:$D)</f>
        <v>74220</v>
      </c>
      <c r="E121" s="3">
        <v>74220</v>
      </c>
      <c r="F121" s="3" t="str">
        <f>_xlfn.XLOOKUP(C121,[1]Herbarium_tissue_collected!$B:$B,[1]Herbarium_tissue_collected!$F:$F)</f>
        <v>1 axillary bud, 3 terminal bud clusters</v>
      </c>
      <c r="G121" s="3" t="str">
        <f>_xlfn.XLOOKUP(C121,[1]Herbarium_tissue_collected!$B:$B,[1]Herbarium_tissue_collected!$G:$G)</f>
        <v>yes, cauline with basal morphology</v>
      </c>
      <c r="H121" t="s">
        <v>29</v>
      </c>
      <c r="I121" t="s">
        <v>284</v>
      </c>
      <c r="N121">
        <f>_xlfn.XLOOKUP(C121,[1]Herbarium_tissue_collected!$B:$B,[1]Herbarium_tissue_collected!$E:$E)</f>
        <v>1916</v>
      </c>
      <c r="S121" t="s">
        <v>41</v>
      </c>
    </row>
    <row r="122" spans="1:19" s="6" customFormat="1" x14ac:dyDescent="0.2">
      <c r="A122" s="6" t="s">
        <v>28</v>
      </c>
      <c r="B122" s="6" t="s">
        <v>8</v>
      </c>
      <c r="C122" s="6">
        <v>2465731</v>
      </c>
      <c r="D122" s="7">
        <f>_xlfn.XLOOKUP(C122,[1]Herbarium_tissue_collected!$B:$B,[1]Herbarium_tissue_collected!$D:$D)</f>
        <v>74262</v>
      </c>
      <c r="E122" s="7">
        <v>74262</v>
      </c>
      <c r="F122" s="7" t="str">
        <f>_xlfn.XLOOKUP(C122,[1]Herbarium_tissue_collected!$B:$B,[1]Herbarium_tissue_collected!$F:$F)</f>
        <v>2 terminal bud clusters, 1 axiallary bud</v>
      </c>
      <c r="G122" s="7" t="str">
        <f>_xlfn.XLOOKUP(C122,[1]Herbarium_tissue_collected!$B:$B,[1]Herbarium_tissue_collected!$G:$G)</f>
        <v>yes, cauline with intermediate morphology</v>
      </c>
      <c r="H122" t="s">
        <v>29</v>
      </c>
      <c r="I122" s="6" t="s">
        <v>284</v>
      </c>
      <c r="K122" s="6" t="s">
        <v>295</v>
      </c>
      <c r="N122" s="6">
        <f>_xlfn.XLOOKUP(C122,[1]Herbarium_tissue_collected!$B:$B,[1]Herbarium_tissue_collected!$E:$E)</f>
        <v>1914</v>
      </c>
    </row>
    <row r="123" spans="1:19" s="6" customFormat="1" x14ac:dyDescent="0.2">
      <c r="A123" s="6" t="s">
        <v>28</v>
      </c>
      <c r="B123" s="6" t="s">
        <v>8</v>
      </c>
      <c r="C123" s="6">
        <v>3430357</v>
      </c>
      <c r="D123" s="7" t="str">
        <f>_xlfn.XLOOKUP(C123,[1]Herbarium_tissue_collected!$B:$B,[1]Herbarium_tissue_collected!$D:$D)</f>
        <v>UC203587</v>
      </c>
      <c r="E123" s="7" t="s">
        <v>179</v>
      </c>
      <c r="F123" s="7" t="str">
        <f>_xlfn.XLOOKUP(C123,[1]Herbarium_tissue_collected!$B:$B,[1]Herbarium_tissue_collected!$F:$F)</f>
        <v>2 bud clusters</v>
      </c>
      <c r="G123" s="7" t="str">
        <f>_xlfn.XLOOKUP(C123,[1]Herbarium_tissue_collected!$B:$B,[1]Herbarium_tissue_collected!$G:$G)</f>
        <v>yes, cauline with intermediate morphology</v>
      </c>
      <c r="H123" t="s">
        <v>29</v>
      </c>
      <c r="N123" s="6">
        <f>_xlfn.XLOOKUP(C123,[1]Herbarium_tissue_collected!$B:$B,[1]Herbarium_tissue_collected!$E:$E)</f>
        <v>1914</v>
      </c>
    </row>
    <row r="124" spans="1:19" x14ac:dyDescent="0.2">
      <c r="A124" t="s">
        <v>28</v>
      </c>
      <c r="B124" t="s">
        <v>9</v>
      </c>
      <c r="C124">
        <v>2413972</v>
      </c>
      <c r="D124" s="3">
        <f>_xlfn.XLOOKUP(C124,[1]Herbarium_tissue_collected!$B:$B,[1]Herbarium_tissue_collected!$D:$D)</f>
        <v>74264</v>
      </c>
      <c r="E124" s="3">
        <v>74264</v>
      </c>
      <c r="F124" s="3" t="str">
        <f>_xlfn.XLOOKUP(C124,[1]Herbarium_tissue_collected!$B:$B,[1]Herbarium_tissue_collected!$F:$F)</f>
        <v xml:space="preserve">tiny leaf and apical meristeam </v>
      </c>
      <c r="G124" s="3" t="str">
        <f>_xlfn.XLOOKUP(C124,[1]Herbarium_tissue_collected!$B:$B,[1]Herbarium_tissue_collected!$G:$G)</f>
        <v xml:space="preserve">yes, basal </v>
      </c>
      <c r="H124" t="s">
        <v>29</v>
      </c>
      <c r="N124">
        <f>_xlfn.XLOOKUP(C124,[1]Herbarium_tissue_collected!$B:$B,[1]Herbarium_tissue_collected!$E:$E)</f>
        <v>1923</v>
      </c>
    </row>
    <row r="125" spans="1:19" x14ac:dyDescent="0.2">
      <c r="A125" t="s">
        <v>28</v>
      </c>
      <c r="B125" t="s">
        <v>9</v>
      </c>
      <c r="D125" s="3">
        <f>_xlfn.XLOOKUP(C125,[1]Herbarium_tissue_collected!$B:$B,[1]Herbarium_tissue_collected!$D:$D)</f>
        <v>0</v>
      </c>
      <c r="E125" s="3">
        <v>0</v>
      </c>
      <c r="F125" s="3">
        <f>_xlfn.XLOOKUP(C125,[1]Herbarium_tissue_collected!$B:$B,[1]Herbarium_tissue_collected!$F:$F)</f>
        <v>0</v>
      </c>
      <c r="G125" s="3">
        <f>_xlfn.XLOOKUP(C125,[1]Herbarium_tissue_collected!$B:$B,[1]Herbarium_tissue_collected!$G:$G)</f>
        <v>0</v>
      </c>
      <c r="N125">
        <f>_xlfn.XLOOKUP(C125,[1]Herbarium_tissue_collected!$B:$B,[1]Herbarium_tissue_collected!$E:$E)</f>
        <v>0</v>
      </c>
    </row>
    <row r="126" spans="1:19" x14ac:dyDescent="0.2">
      <c r="A126" t="s">
        <v>28</v>
      </c>
      <c r="B126" t="s">
        <v>9</v>
      </c>
      <c r="D126" s="3">
        <f>_xlfn.XLOOKUP(C126,[1]Herbarium_tissue_collected!$B:$B,[1]Herbarium_tissue_collected!$D:$D)</f>
        <v>0</v>
      </c>
      <c r="E126" s="3">
        <v>0</v>
      </c>
      <c r="F126" s="3">
        <f>_xlfn.XLOOKUP(C126,[1]Herbarium_tissue_collected!$B:$B,[1]Herbarium_tissue_collected!$F:$F)</f>
        <v>0</v>
      </c>
      <c r="G126" s="3">
        <f>_xlfn.XLOOKUP(C126,[1]Herbarium_tissue_collected!$B:$B,[1]Herbarium_tissue_collected!$G:$G)</f>
        <v>0</v>
      </c>
      <c r="N126">
        <f>_xlfn.XLOOKUP(C126,[1]Herbarium_tissue_collected!$B:$B,[1]Herbarium_tissue_collected!$E:$E)</f>
        <v>0</v>
      </c>
    </row>
    <row r="127" spans="1:19" x14ac:dyDescent="0.2">
      <c r="A127" t="s">
        <v>28</v>
      </c>
      <c r="B127" t="s">
        <v>9</v>
      </c>
      <c r="D127" s="3">
        <f>_xlfn.XLOOKUP(C127,[1]Herbarium_tissue_collected!$B:$B,[1]Herbarium_tissue_collected!$D:$D)</f>
        <v>0</v>
      </c>
      <c r="E127" s="3">
        <v>0</v>
      </c>
      <c r="F127" s="3">
        <f>_xlfn.XLOOKUP(C127,[1]Herbarium_tissue_collected!$B:$B,[1]Herbarium_tissue_collected!$F:$F)</f>
        <v>0</v>
      </c>
      <c r="G127" s="3">
        <f>_xlfn.XLOOKUP(C127,[1]Herbarium_tissue_collected!$B:$B,[1]Herbarium_tissue_collected!$G:$G)</f>
        <v>0</v>
      </c>
      <c r="N127">
        <f>_xlfn.XLOOKUP(C127,[1]Herbarium_tissue_collected!$B:$B,[1]Herbarium_tissue_collected!$E:$E)</f>
        <v>0</v>
      </c>
    </row>
    <row r="128" spans="1:19" x14ac:dyDescent="0.2">
      <c r="A128" t="s">
        <v>28</v>
      </c>
      <c r="B128" t="s">
        <v>9</v>
      </c>
      <c r="D128" s="3">
        <f>_xlfn.XLOOKUP(C128,[1]Herbarium_tissue_collected!$B:$B,[1]Herbarium_tissue_collected!$D:$D)</f>
        <v>0</v>
      </c>
      <c r="E128" s="3">
        <v>0</v>
      </c>
      <c r="F128" s="3">
        <f>_xlfn.XLOOKUP(C128,[1]Herbarium_tissue_collected!$B:$B,[1]Herbarium_tissue_collected!$F:$F)</f>
        <v>0</v>
      </c>
      <c r="G128" s="3">
        <f>_xlfn.XLOOKUP(C128,[1]Herbarium_tissue_collected!$B:$B,[1]Herbarium_tissue_collected!$G:$G)</f>
        <v>0</v>
      </c>
      <c r="N128">
        <f>_xlfn.XLOOKUP(C128,[1]Herbarium_tissue_collected!$B:$B,[1]Herbarium_tissue_collected!$E:$E)</f>
        <v>0</v>
      </c>
    </row>
    <row r="129" spans="1:14" x14ac:dyDescent="0.2">
      <c r="A129" t="s">
        <v>28</v>
      </c>
      <c r="B129" t="s">
        <v>17</v>
      </c>
      <c r="C129">
        <v>1368001</v>
      </c>
      <c r="D129" s="3" t="str">
        <f>_xlfn.XLOOKUP(C129,[1]Herbarium_tissue_collected!$B:$B,[1]Herbarium_tissue_collected!$D:$D)</f>
        <v>DAV310417</v>
      </c>
      <c r="E129" s="3" t="s">
        <v>180</v>
      </c>
      <c r="F129" s="3" t="str">
        <f>_xlfn.XLOOKUP(C129,[1]Herbarium_tissue_collected!$B:$B,[1]Herbarium_tissue_collected!$F:$F)</f>
        <v>4 axiallary buds, 1 lil leaf</v>
      </c>
      <c r="G129" s="3" t="str">
        <f>_xlfn.XLOOKUP(C129,[1]Herbarium_tissue_collected!$B:$B,[1]Herbarium_tissue_collected!$G:$G)</f>
        <v>yes, basal</v>
      </c>
      <c r="H129" t="s">
        <v>29</v>
      </c>
      <c r="I129" t="s">
        <v>287</v>
      </c>
      <c r="N129">
        <f>_xlfn.XLOOKUP(C129,[1]Herbarium_tissue_collected!$B:$B,[1]Herbarium_tissue_collected!$E:$E)</f>
        <v>1932</v>
      </c>
    </row>
    <row r="130" spans="1:14" x14ac:dyDescent="0.2">
      <c r="A130" t="s">
        <v>28</v>
      </c>
      <c r="B130" t="s">
        <v>17</v>
      </c>
      <c r="C130">
        <v>2061482</v>
      </c>
      <c r="D130" s="3" t="str">
        <f>_xlfn.XLOOKUP(C130,[1]Herbarium_tissue_collected!$B:$B,[1]Herbarium_tissue_collected!$D:$D)</f>
        <v>CHSC000533</v>
      </c>
      <c r="E130" s="3" t="s">
        <v>181</v>
      </c>
      <c r="F130" s="3" t="str">
        <f>_xlfn.XLOOKUP(C130,[1]Herbarium_tissue_collected!$B:$B,[1]Herbarium_tissue_collected!$F:$F)</f>
        <v>3 axillary bud, 1 little leaf</v>
      </c>
      <c r="G130" s="3" t="str">
        <f>_xlfn.XLOOKUP(C130,[1]Herbarium_tissue_collected!$B:$B,[1]Herbarium_tissue_collected!$G:$G)</f>
        <v xml:space="preserve">yes, basal </v>
      </c>
      <c r="H130" t="s">
        <v>29</v>
      </c>
      <c r="I130" t="s">
        <v>287</v>
      </c>
      <c r="N130">
        <f>_xlfn.XLOOKUP(C130,[1]Herbarium_tissue_collected!$B:$B,[1]Herbarium_tissue_collected!$E:$E)</f>
        <v>1935</v>
      </c>
    </row>
    <row r="131" spans="1:14" x14ac:dyDescent="0.2">
      <c r="A131" t="s">
        <v>28</v>
      </c>
      <c r="B131" t="s">
        <v>17</v>
      </c>
      <c r="C131">
        <v>3444193</v>
      </c>
      <c r="D131" s="3" t="str">
        <f>_xlfn.XLOOKUP(C131,[1]Herbarium_tissue_collected!$B:$B,[1]Herbarium_tissue_collected!$D:$D)</f>
        <v>UC596419</v>
      </c>
      <c r="E131" s="3" t="s">
        <v>182</v>
      </c>
      <c r="F131" s="3" t="str">
        <f>_xlfn.XLOOKUP(C131,[1]Herbarium_tissue_collected!$B:$B,[1]Herbarium_tissue_collected!$F:$F)</f>
        <v>4 bud clusters</v>
      </c>
      <c r="G131" s="3" t="str">
        <f>_xlfn.XLOOKUP(C131,[1]Herbarium_tissue_collected!$B:$B,[1]Herbarium_tissue_collected!$G:$G)</f>
        <v>yes, cauline with basal morphology</v>
      </c>
      <c r="H131" t="s">
        <v>29</v>
      </c>
      <c r="N131">
        <f>_xlfn.XLOOKUP(C131,[1]Herbarium_tissue_collected!$B:$B,[1]Herbarium_tissue_collected!$E:$E)</f>
        <v>1935</v>
      </c>
    </row>
    <row r="132" spans="1:14" x14ac:dyDescent="0.2">
      <c r="A132" t="s">
        <v>28</v>
      </c>
      <c r="B132" t="s">
        <v>17</v>
      </c>
      <c r="C132">
        <v>3262100</v>
      </c>
      <c r="D132" s="3" t="str">
        <f>_xlfn.XLOOKUP(C132,[1]Herbarium_tissue_collected!$B:$B,[1]Herbarium_tissue_collected!$D:$D)</f>
        <v>UC765025</v>
      </c>
      <c r="E132" s="3" t="s">
        <v>183</v>
      </c>
      <c r="F132" s="3" t="str">
        <f>_xlfn.XLOOKUP(C132,[1]Herbarium_tissue_collected!$B:$B,[1]Herbarium_tissue_collected!$F:$F)</f>
        <v>4 bud clusters</v>
      </c>
      <c r="G132" s="3" t="str">
        <f>_xlfn.XLOOKUP(C132,[1]Herbarium_tissue_collected!$B:$B,[1]Herbarium_tissue_collected!$G:$G)</f>
        <v>yes, basal</v>
      </c>
      <c r="H132" t="s">
        <v>29</v>
      </c>
      <c r="I132" t="s">
        <v>284</v>
      </c>
      <c r="K132" t="s">
        <v>294</v>
      </c>
      <c r="N132">
        <f>_xlfn.XLOOKUP(C132,[1]Herbarium_tissue_collected!$B:$B,[1]Herbarium_tissue_collected!$E:$E)</f>
        <v>1935</v>
      </c>
    </row>
    <row r="133" spans="1:14" x14ac:dyDescent="0.2">
      <c r="A133" t="s">
        <v>28</v>
      </c>
      <c r="B133" t="s">
        <v>17</v>
      </c>
      <c r="C133">
        <v>3335398</v>
      </c>
      <c r="D133" s="3" t="str">
        <f>_xlfn.XLOOKUP(C133,[1]Herbarium_tissue_collected!$B:$B,[1]Herbarium_tissue_collected!$D:$D)</f>
        <v>UC765016</v>
      </c>
      <c r="E133" s="3" t="s">
        <v>184</v>
      </c>
      <c r="F133" s="3" t="str">
        <f>_xlfn.XLOOKUP(C133,[1]Herbarium_tissue_collected!$B:$B,[1]Herbarium_tissue_collected!$F:$F)</f>
        <v>3 bud clusters</v>
      </c>
      <c r="G133" s="3" t="str">
        <f>_xlfn.XLOOKUP(C133,[1]Herbarium_tissue_collected!$B:$B,[1]Herbarium_tissue_collected!$G:$G)</f>
        <v>yes, basal</v>
      </c>
      <c r="H133" t="s">
        <v>29</v>
      </c>
      <c r="I133" t="s">
        <v>287</v>
      </c>
      <c r="N133">
        <f>_xlfn.XLOOKUP(C133,[1]Herbarium_tissue_collected!$B:$B,[1]Herbarium_tissue_collected!$E:$E)</f>
        <v>1935</v>
      </c>
    </row>
    <row r="134" spans="1:14" x14ac:dyDescent="0.2">
      <c r="A134" t="s">
        <v>28</v>
      </c>
      <c r="B134" t="s">
        <v>17</v>
      </c>
      <c r="C134">
        <v>3523645</v>
      </c>
      <c r="D134" s="3" t="str">
        <f>_xlfn.XLOOKUP(C134,[1]Herbarium_tissue_collected!$B:$B,[1]Herbarium_tissue_collected!$D:$D)</f>
        <v>JEPS53814</v>
      </c>
      <c r="E134" s="3" t="s">
        <v>185</v>
      </c>
      <c r="F134" s="3" t="str">
        <f>_xlfn.XLOOKUP(C134,[1]Herbarium_tissue_collected!$B:$B,[1]Herbarium_tissue_collected!$F:$F)</f>
        <v>4 bud clusters, 1 little leaf, extra buds</v>
      </c>
      <c r="G134" s="3" t="str">
        <f>_xlfn.XLOOKUP(C134,[1]Herbarium_tissue_collected!$B:$B,[1]Herbarium_tissue_collected!$G:$G)</f>
        <v>yes, basal</v>
      </c>
      <c r="H134" t="s">
        <v>29</v>
      </c>
      <c r="I134" t="s">
        <v>287</v>
      </c>
      <c r="N134">
        <f>_xlfn.XLOOKUP(C134,[1]Herbarium_tissue_collected!$B:$B,[1]Herbarium_tissue_collected!$E:$E)</f>
        <v>1936</v>
      </c>
    </row>
    <row r="135" spans="1:14" x14ac:dyDescent="0.2">
      <c r="A135" t="s">
        <v>28</v>
      </c>
      <c r="B135" t="s">
        <v>18</v>
      </c>
      <c r="C135">
        <v>1368036</v>
      </c>
      <c r="D135" s="3" t="str">
        <f>_xlfn.XLOOKUP(C135,[1]Herbarium_tissue_collected!$B:$B,[1]Herbarium_tissue_collected!$D:$D)</f>
        <v>DAV310432</v>
      </c>
      <c r="E135" s="3" t="s">
        <v>186</v>
      </c>
      <c r="F135" s="3" t="str">
        <f>_xlfn.XLOOKUP(C135,[1]Herbarium_tissue_collected!$B:$B,[1]Herbarium_tissue_collected!$F:$F)</f>
        <v>2 axiallary bud, 2 little leaf, 1 bud cluster</v>
      </c>
      <c r="G135" s="3" t="str">
        <f>_xlfn.XLOOKUP(C135,[1]Herbarium_tissue_collected!$B:$B,[1]Herbarium_tissue_collected!$G:$G)</f>
        <v>yes, cauline w/ intermediate morphology</v>
      </c>
      <c r="H135" t="s">
        <v>29</v>
      </c>
      <c r="I135" t="s">
        <v>287</v>
      </c>
      <c r="N135">
        <f>_xlfn.XLOOKUP(C135,[1]Herbarium_tissue_collected!$B:$B,[1]Herbarium_tissue_collected!$E:$E)</f>
        <v>1941</v>
      </c>
    </row>
    <row r="136" spans="1:14" x14ac:dyDescent="0.2">
      <c r="A136" t="s">
        <v>28</v>
      </c>
      <c r="B136" t="s">
        <v>18</v>
      </c>
      <c r="D136" s="3">
        <f>_xlfn.XLOOKUP(C136,[1]Herbarium_tissue_collected!$B:$B,[1]Herbarium_tissue_collected!$D:$D)</f>
        <v>0</v>
      </c>
      <c r="E136" s="3">
        <v>0</v>
      </c>
      <c r="F136" s="3">
        <f>_xlfn.XLOOKUP(C136,[1]Herbarium_tissue_collected!$B:$B,[1]Herbarium_tissue_collected!$F:$F)</f>
        <v>0</v>
      </c>
      <c r="G136" s="3">
        <f>_xlfn.XLOOKUP(C136,[1]Herbarium_tissue_collected!$B:$B,[1]Herbarium_tissue_collected!$G:$G)</f>
        <v>0</v>
      </c>
      <c r="N136">
        <f>_xlfn.XLOOKUP(C136,[1]Herbarium_tissue_collected!$B:$B,[1]Herbarium_tissue_collected!$E:$E)</f>
        <v>0</v>
      </c>
    </row>
    <row r="137" spans="1:14" x14ac:dyDescent="0.2">
      <c r="A137" t="s">
        <v>28</v>
      </c>
      <c r="B137" t="s">
        <v>18</v>
      </c>
      <c r="D137" s="3">
        <f>_xlfn.XLOOKUP(C137,[1]Herbarium_tissue_collected!$B:$B,[1]Herbarium_tissue_collected!$D:$D)</f>
        <v>0</v>
      </c>
      <c r="E137" s="3">
        <v>0</v>
      </c>
      <c r="F137" s="3">
        <f>_xlfn.XLOOKUP(C137,[1]Herbarium_tissue_collected!$B:$B,[1]Herbarium_tissue_collected!$F:$F)</f>
        <v>0</v>
      </c>
      <c r="G137" s="3">
        <f>_xlfn.XLOOKUP(C137,[1]Herbarium_tissue_collected!$B:$B,[1]Herbarium_tissue_collected!$G:$G)</f>
        <v>0</v>
      </c>
      <c r="N137">
        <f>_xlfn.XLOOKUP(C137,[1]Herbarium_tissue_collected!$B:$B,[1]Herbarium_tissue_collected!$E:$E)</f>
        <v>0</v>
      </c>
    </row>
    <row r="138" spans="1:14" x14ac:dyDescent="0.2">
      <c r="A138" t="s">
        <v>28</v>
      </c>
      <c r="B138" t="s">
        <v>18</v>
      </c>
      <c r="D138" s="3">
        <f>_xlfn.XLOOKUP(C138,[1]Herbarium_tissue_collected!$B:$B,[1]Herbarium_tissue_collected!$D:$D)</f>
        <v>0</v>
      </c>
      <c r="E138" s="3">
        <v>0</v>
      </c>
      <c r="F138" s="3">
        <f>_xlfn.XLOOKUP(C138,[1]Herbarium_tissue_collected!$B:$B,[1]Herbarium_tissue_collected!$F:$F)</f>
        <v>0</v>
      </c>
      <c r="G138" s="3">
        <f>_xlfn.XLOOKUP(C138,[1]Herbarium_tissue_collected!$B:$B,[1]Herbarium_tissue_collected!$G:$G)</f>
        <v>0</v>
      </c>
      <c r="N138">
        <f>_xlfn.XLOOKUP(C138,[1]Herbarium_tissue_collected!$B:$B,[1]Herbarium_tissue_collected!$E:$E)</f>
        <v>0</v>
      </c>
    </row>
    <row r="139" spans="1:14" x14ac:dyDescent="0.2">
      <c r="A139" t="s">
        <v>28</v>
      </c>
      <c r="B139" t="s">
        <v>18</v>
      </c>
      <c r="D139" s="3">
        <f>_xlfn.XLOOKUP(C139,[1]Herbarium_tissue_collected!$B:$B,[1]Herbarium_tissue_collected!$D:$D)</f>
        <v>0</v>
      </c>
      <c r="E139" s="3">
        <v>0</v>
      </c>
      <c r="F139" s="3">
        <f>_xlfn.XLOOKUP(C139,[1]Herbarium_tissue_collected!$B:$B,[1]Herbarium_tissue_collected!$F:$F)</f>
        <v>0</v>
      </c>
      <c r="G139" s="3">
        <f>_xlfn.XLOOKUP(C139,[1]Herbarium_tissue_collected!$B:$B,[1]Herbarium_tissue_collected!$G:$G)</f>
        <v>0</v>
      </c>
      <c r="N139">
        <f>_xlfn.XLOOKUP(C139,[1]Herbarium_tissue_collected!$B:$B,[1]Herbarium_tissue_collected!$E:$E)</f>
        <v>0</v>
      </c>
    </row>
    <row r="140" spans="1:14" s="6" customFormat="1" x14ac:dyDescent="0.2">
      <c r="A140" s="6" t="s">
        <v>28</v>
      </c>
      <c r="B140" s="6" t="s">
        <v>19</v>
      </c>
      <c r="C140" s="6">
        <v>1367980</v>
      </c>
      <c r="D140" s="7" t="str">
        <f>_xlfn.XLOOKUP(C140,[1]Herbarium_tissue_collected!$B:$B,[1]Herbarium_tissue_collected!$D:$D)</f>
        <v>DAV310436</v>
      </c>
      <c r="E140" s="7" t="s">
        <v>187</v>
      </c>
      <c r="F140" s="7" t="str">
        <f>_xlfn.XLOOKUP(C140,[1]Herbarium_tissue_collected!$B:$B,[1]Herbarium_tissue_collected!$F:$F)</f>
        <v>1 terminal  multi-bud cluster, 1 axilary, one terminal bud cluster</v>
      </c>
      <c r="G140" s="7" t="str">
        <f>_xlfn.XLOOKUP(C140,[1]Herbarium_tissue_collected!$B:$B,[1]Herbarium_tissue_collected!$G:$G)</f>
        <v>yes, cauline with basal morphology</v>
      </c>
      <c r="H140" t="s">
        <v>29</v>
      </c>
      <c r="N140" s="6">
        <f>_xlfn.XLOOKUP(C140,[1]Herbarium_tissue_collected!$B:$B,[1]Herbarium_tissue_collected!$E:$E)</f>
        <v>1951</v>
      </c>
    </row>
    <row r="141" spans="1:14" x14ac:dyDescent="0.2">
      <c r="A141" t="s">
        <v>28</v>
      </c>
      <c r="B141" t="s">
        <v>19</v>
      </c>
      <c r="C141">
        <v>3498289</v>
      </c>
      <c r="D141" s="3" t="str">
        <f>_xlfn.XLOOKUP(C141,[1]Herbarium_tissue_collected!$B:$B,[1]Herbarium_tissue_collected!$D:$D)</f>
        <v>JEPS8424</v>
      </c>
      <c r="E141" s="3" t="s">
        <v>188</v>
      </c>
      <c r="F141" s="3" t="str">
        <f>_xlfn.XLOOKUP(C141,[1]Herbarium_tissue_collected!$B:$B,[1]Herbarium_tissue_collected!$F:$F)</f>
        <v>2 axiallary buds, 2 apical bud clusters</v>
      </c>
      <c r="G141" s="3" t="str">
        <f>_xlfn.XLOOKUP(C141,[1]Herbarium_tissue_collected!$B:$B,[1]Herbarium_tissue_collected!$G:$G)</f>
        <v>yes, cauline with basal morphology</v>
      </c>
      <c r="H141" t="s">
        <v>29</v>
      </c>
      <c r="I141" s="3" t="s">
        <v>284</v>
      </c>
      <c r="N141">
        <f>_xlfn.XLOOKUP(C141,[1]Herbarium_tissue_collected!$B:$B,[1]Herbarium_tissue_collected!$E:$E)</f>
        <v>1951</v>
      </c>
    </row>
    <row r="142" spans="1:14" x14ac:dyDescent="0.2">
      <c r="A142" t="s">
        <v>28</v>
      </c>
      <c r="B142" t="s">
        <v>19</v>
      </c>
      <c r="C142">
        <v>2324050</v>
      </c>
      <c r="D142" s="3">
        <f>_xlfn.XLOOKUP(C142,[1]Herbarium_tissue_collected!$B:$B,[1]Herbarium_tissue_collected!$D:$D)</f>
        <v>74181</v>
      </c>
      <c r="E142" s="3">
        <v>74181</v>
      </c>
      <c r="F142" s="3" t="str">
        <f>_xlfn.XLOOKUP(C142,[1]Herbarium_tissue_collected!$B:$B,[1]Herbarium_tissue_collected!$F:$F)</f>
        <v>1 terminal bud cluster</v>
      </c>
      <c r="G142" s="3" t="str">
        <f>_xlfn.XLOOKUP(C142,[1]Herbarium_tissue_collected!$B:$B,[1]Herbarium_tissue_collected!$G:$G)</f>
        <v>yes, basal</v>
      </c>
      <c r="H142" t="s">
        <v>29</v>
      </c>
      <c r="I142" t="s">
        <v>287</v>
      </c>
      <c r="N142">
        <f>_xlfn.XLOOKUP(C142,[1]Herbarium_tissue_collected!$B:$B,[1]Herbarium_tissue_collected!$E:$E)</f>
        <v>1954</v>
      </c>
    </row>
    <row r="143" spans="1:14" x14ac:dyDescent="0.2">
      <c r="A143" t="s">
        <v>28</v>
      </c>
      <c r="B143" t="s">
        <v>19</v>
      </c>
      <c r="C143">
        <v>2358623</v>
      </c>
      <c r="D143" s="3">
        <f>_xlfn.XLOOKUP(C143,[1]Herbarium_tissue_collected!$B:$B,[1]Herbarium_tissue_collected!$D:$D)</f>
        <v>74178</v>
      </c>
      <c r="E143" s="3">
        <v>74178</v>
      </c>
      <c r="F143" s="3" t="str">
        <f>_xlfn.XLOOKUP(C143,[1]Herbarium_tissue_collected!$B:$B,[1]Herbarium_tissue_collected!$F:$F)</f>
        <v>2 axiallary bud, 1 terminal bud</v>
      </c>
      <c r="G143" s="3" t="str">
        <f>_xlfn.XLOOKUP(C143,[1]Herbarium_tissue_collected!$B:$B,[1]Herbarium_tissue_collected!$G:$G)</f>
        <v>yes, basal</v>
      </c>
      <c r="H143" t="s">
        <v>29</v>
      </c>
      <c r="I143" t="s">
        <v>287</v>
      </c>
      <c r="N143">
        <f>_xlfn.XLOOKUP(C143,[1]Herbarium_tissue_collected!$B:$B,[1]Herbarium_tissue_collected!$E:$E)</f>
        <v>1958</v>
      </c>
    </row>
    <row r="144" spans="1:14" x14ac:dyDescent="0.2">
      <c r="A144" t="s">
        <v>28</v>
      </c>
      <c r="B144" t="s">
        <v>19</v>
      </c>
      <c r="C144">
        <v>4745859</v>
      </c>
      <c r="D144" s="3">
        <f>_xlfn.XLOOKUP(C144,[1]Herbarium_tissue_collected!$B:$B,[1]Herbarium_tissue_collected!$D:$D)</f>
        <v>77913</v>
      </c>
      <c r="E144" s="3">
        <v>77913</v>
      </c>
      <c r="F144" s="3" t="str">
        <f>_xlfn.XLOOKUP(C144,[1]Herbarium_tissue_collected!$B:$B,[1]Herbarium_tissue_collected!$F:$F)</f>
        <v>3 axillary bud, 1 large bud</v>
      </c>
      <c r="G144" s="3" t="str">
        <f>_xlfn.XLOOKUP(C144,[1]Herbarium_tissue_collected!$B:$B,[1]Herbarium_tissue_collected!$G:$G)</f>
        <v>yes, basal</v>
      </c>
      <c r="H144" t="s">
        <v>29</v>
      </c>
      <c r="I144" t="s">
        <v>287</v>
      </c>
      <c r="N144">
        <f>_xlfn.XLOOKUP(C144,[1]Herbarium_tissue_collected!$B:$B,[1]Herbarium_tissue_collected!$E:$E)</f>
        <v>1959</v>
      </c>
    </row>
    <row r="145" spans="1:14" x14ac:dyDescent="0.2">
      <c r="A145" t="s">
        <v>28</v>
      </c>
      <c r="B145" t="s">
        <v>20</v>
      </c>
      <c r="C145">
        <v>3414522</v>
      </c>
      <c r="D145" s="3" t="str">
        <f>_xlfn.XLOOKUP(C145,[1]Herbarium_tissue_collected!$B:$B,[1]Herbarium_tissue_collected!$D:$D)</f>
        <v>JEPS45441</v>
      </c>
      <c r="E145" s="3" t="s">
        <v>189</v>
      </c>
      <c r="F145" s="3" t="str">
        <f>_xlfn.XLOOKUP(C145,[1]Herbarium_tissue_collected!$B:$B,[1]Herbarium_tissue_collected!$F:$F)</f>
        <v>3 axiallary buds, little leaf</v>
      </c>
      <c r="G145" s="3" t="str">
        <f>_xlfn.XLOOKUP(C145,[1]Herbarium_tissue_collected!$B:$B,[1]Herbarium_tissue_collected!$G:$G)</f>
        <v>yes, basal</v>
      </c>
      <c r="H145" t="s">
        <v>29</v>
      </c>
      <c r="I145" s="3" t="s">
        <v>284</v>
      </c>
      <c r="N145">
        <f>_xlfn.XLOOKUP(C145,[1]Herbarium_tissue_collected!$B:$B,[1]Herbarium_tissue_collected!$E:$E)</f>
        <v>1961</v>
      </c>
    </row>
    <row r="146" spans="1:14" s="6" customFormat="1" x14ac:dyDescent="0.2">
      <c r="A146" s="6" t="s">
        <v>28</v>
      </c>
      <c r="B146" s="6" t="s">
        <v>20</v>
      </c>
      <c r="C146" s="6">
        <v>3292668</v>
      </c>
      <c r="D146" s="7" t="str">
        <f>_xlfn.XLOOKUP(C146,[1]Herbarium_tissue_collected!$B:$B,[1]Herbarium_tissue_collected!$D:$D)</f>
        <v>JEPS45440</v>
      </c>
      <c r="E146" s="7" t="s">
        <v>190</v>
      </c>
      <c r="F146" s="7" t="str">
        <f>_xlfn.XLOOKUP(C146,[1]Herbarium_tissue_collected!$B:$B,[1]Herbarium_tissue_collected!$F:$F)</f>
        <v>3 bud clusters</v>
      </c>
      <c r="G146" s="7" t="str">
        <f>_xlfn.XLOOKUP(C146,[1]Herbarium_tissue_collected!$B:$B,[1]Herbarium_tissue_collected!$G:$G)</f>
        <v>yes, basal</v>
      </c>
      <c r="H146" t="s">
        <v>29</v>
      </c>
      <c r="N146" s="6">
        <f>_xlfn.XLOOKUP(C146,[1]Herbarium_tissue_collected!$B:$B,[1]Herbarium_tissue_collected!$E:$E)</f>
        <v>1961</v>
      </c>
    </row>
    <row r="147" spans="1:14" x14ac:dyDescent="0.2">
      <c r="A147" t="s">
        <v>28</v>
      </c>
      <c r="B147" t="s">
        <v>20</v>
      </c>
      <c r="C147">
        <v>5504856</v>
      </c>
      <c r="D147" s="3">
        <f>_xlfn.XLOOKUP(C147,[1]Herbarium_tissue_collected!$B:$B,[1]Herbarium_tissue_collected!$D:$D)</f>
        <v>684493</v>
      </c>
      <c r="E147" s="3">
        <v>684493</v>
      </c>
      <c r="F147" s="3" t="str">
        <f>_xlfn.XLOOKUP(C147,[1]Herbarium_tissue_collected!$B:$B,[1]Herbarium_tissue_collected!$F:$F)</f>
        <v>5 axillary buds</v>
      </c>
      <c r="G147" s="3" t="str">
        <f>_xlfn.XLOOKUP(C147,[1]Herbarium_tissue_collected!$B:$B,[1]Herbarium_tissue_collected!$G:$G)</f>
        <v>yes, cauline with basal morphology</v>
      </c>
      <c r="H147" t="s">
        <v>29</v>
      </c>
      <c r="I147" s="3" t="s">
        <v>284</v>
      </c>
      <c r="N147">
        <f>_xlfn.XLOOKUP(C147,[1]Herbarium_tissue_collected!$B:$B,[1]Herbarium_tissue_collected!$E:$E)</f>
        <v>1962</v>
      </c>
    </row>
    <row r="148" spans="1:14" s="6" customFormat="1" x14ac:dyDescent="0.2">
      <c r="A148" s="6" t="s">
        <v>28</v>
      </c>
      <c r="B148" s="6" t="s">
        <v>20</v>
      </c>
      <c r="C148" s="6">
        <v>5504855</v>
      </c>
      <c r="D148" s="7">
        <f>_xlfn.XLOOKUP(C148,[1]Herbarium_tissue_collected!$B:$B,[1]Herbarium_tissue_collected!$D:$D)</f>
        <v>684492</v>
      </c>
      <c r="E148" s="7">
        <v>684492</v>
      </c>
      <c r="F148" s="7" t="str">
        <f>_xlfn.XLOOKUP(C148,[1]Herbarium_tissue_collected!$B:$B,[1]Herbarium_tissue_collected!$F:$F)</f>
        <v>3 axillary buds</v>
      </c>
      <c r="G148" s="7" t="str">
        <f>_xlfn.XLOOKUP(C148,[1]Herbarium_tissue_collected!$B:$B,[1]Herbarium_tissue_collected!$G:$G)</f>
        <v xml:space="preserve">yes, cauline with basal morphology </v>
      </c>
      <c r="H148" t="s">
        <v>29</v>
      </c>
      <c r="N148" s="6">
        <f>_xlfn.XLOOKUP(C148,[1]Herbarium_tissue_collected!$B:$B,[1]Herbarium_tissue_collected!$E:$E)</f>
        <v>1962</v>
      </c>
    </row>
    <row r="149" spans="1:14" x14ac:dyDescent="0.2">
      <c r="A149" t="s">
        <v>28</v>
      </c>
      <c r="B149" t="s">
        <v>20</v>
      </c>
      <c r="C149">
        <v>2424544</v>
      </c>
      <c r="D149" s="3">
        <f>_xlfn.XLOOKUP(C149,[1]Herbarium_tissue_collected!$B:$B,[1]Herbarium_tissue_collected!$D:$D)</f>
        <v>74190</v>
      </c>
      <c r="E149" s="3">
        <v>74190</v>
      </c>
      <c r="F149" s="3" t="str">
        <f>_xlfn.XLOOKUP(C149,[1]Herbarium_tissue_collected!$B:$B,[1]Herbarium_tissue_collected!$F:$F)</f>
        <v>1 axillary bud, 2 terminal bud cluster</v>
      </c>
      <c r="G149" s="3" t="str">
        <f>_xlfn.XLOOKUP(C149,[1]Herbarium_tissue_collected!$B:$B,[1]Herbarium_tissue_collected!$G:$G)</f>
        <v>yes, cauline with intermediate morphology</v>
      </c>
      <c r="H149" t="s">
        <v>29</v>
      </c>
      <c r="I149" t="s">
        <v>287</v>
      </c>
      <c r="N149">
        <f>_xlfn.XLOOKUP(C149,[1]Herbarium_tissue_collected!$B:$B,[1]Herbarium_tissue_collected!$E:$E)</f>
        <v>1964</v>
      </c>
    </row>
    <row r="150" spans="1:14" x14ac:dyDescent="0.2">
      <c r="A150" t="s">
        <v>28</v>
      </c>
      <c r="B150" t="s">
        <v>20</v>
      </c>
      <c r="C150">
        <v>2061760</v>
      </c>
      <c r="D150" s="3" t="str">
        <f>_xlfn.XLOOKUP(C150,[1]Herbarium_tissue_collected!$B:$B,[1]Herbarium_tissue_collected!$D:$D)</f>
        <v>CHSC000537</v>
      </c>
      <c r="E150" s="3" t="s">
        <v>191</v>
      </c>
      <c r="F150" s="3" t="str">
        <f>_xlfn.XLOOKUP(C150,[1]Herbarium_tissue_collected!$B:$B,[1]Herbarium_tissue_collected!$F:$F)</f>
        <v>3 axiallary buds</v>
      </c>
      <c r="G150" s="3" t="str">
        <f>_xlfn.XLOOKUP(C150,[1]Herbarium_tissue_collected!$B:$B,[1]Herbarium_tissue_collected!$G:$G)</f>
        <v>yes, cauline with basal morphology</v>
      </c>
      <c r="H150" t="s">
        <v>29</v>
      </c>
      <c r="N150">
        <f>_xlfn.XLOOKUP(C150,[1]Herbarium_tissue_collected!$B:$B,[1]Herbarium_tissue_collected!$E:$E)</f>
        <v>1965</v>
      </c>
    </row>
    <row r="151" spans="1:14" x14ac:dyDescent="0.2">
      <c r="A151" t="s">
        <v>28</v>
      </c>
      <c r="B151" t="s">
        <v>20</v>
      </c>
      <c r="C151">
        <v>2030475</v>
      </c>
      <c r="D151" s="3" t="str">
        <f>_xlfn.XLOOKUP(C151,[1]Herbarium_tissue_collected!$B:$B,[1]Herbarium_tissue_collected!$D:$D)</f>
        <v>UC10775</v>
      </c>
      <c r="E151" s="3" t="s">
        <v>192</v>
      </c>
      <c r="F151" s="3" t="str">
        <f>_xlfn.XLOOKUP(C151,[1]Herbarium_tissue_collected!$B:$B,[1]Herbarium_tissue_collected!$F:$F)</f>
        <v>2 axiallary bud</v>
      </c>
      <c r="G151" s="3" t="str">
        <f>_xlfn.XLOOKUP(C151,[1]Herbarium_tissue_collected!$B:$B,[1]Herbarium_tissue_collected!$G:$G)</f>
        <v>yes, basal</v>
      </c>
      <c r="H151" t="s">
        <v>29</v>
      </c>
      <c r="N151">
        <f>_xlfn.XLOOKUP(C151,[1]Herbarium_tissue_collected!$B:$B,[1]Herbarium_tissue_collected!$E:$E)</f>
        <v>1966</v>
      </c>
    </row>
    <row r="152" spans="1:14" x14ac:dyDescent="0.2">
      <c r="A152" t="s">
        <v>28</v>
      </c>
      <c r="B152" t="s">
        <v>20</v>
      </c>
      <c r="C152">
        <v>5872887</v>
      </c>
      <c r="D152" s="3" t="str">
        <f>_xlfn.XLOOKUP(C152,[1]Herbarium_tissue_collected!$B:$B,[1]Herbarium_tissue_collected!$D:$D)</f>
        <v>CHSC126713</v>
      </c>
      <c r="E152" s="3" t="s">
        <v>193</v>
      </c>
      <c r="F152" s="3" t="str">
        <f>_xlfn.XLOOKUP(C152,[1]Herbarium_tissue_collected!$B:$B,[1]Herbarium_tissue_collected!$F:$F)</f>
        <v>2 axillary bud, 1 terminal bud cluster</v>
      </c>
      <c r="G152" s="3" t="str">
        <f>_xlfn.XLOOKUP(C152,[1]Herbarium_tissue_collected!$B:$B,[1]Herbarium_tissue_collected!$G:$G)</f>
        <v xml:space="preserve">yes, basal </v>
      </c>
      <c r="H152" t="s">
        <v>29</v>
      </c>
      <c r="I152" s="3" t="s">
        <v>284</v>
      </c>
      <c r="N152">
        <f>_xlfn.XLOOKUP(C152,[1]Herbarium_tissue_collected!$B:$B,[1]Herbarium_tissue_collected!$E:$E)</f>
        <v>1968</v>
      </c>
    </row>
    <row r="153" spans="1:14" s="6" customFormat="1" x14ac:dyDescent="0.2">
      <c r="A153" s="6" t="s">
        <v>28</v>
      </c>
      <c r="B153" t="s">
        <v>20</v>
      </c>
      <c r="C153" s="6">
        <v>5872878</v>
      </c>
      <c r="D153" s="7" t="str">
        <f>_xlfn.XLOOKUP(C153,[1]Herbarium_tissue_collected!$B:$B,[1]Herbarium_tissue_collected!$D:$D)</f>
        <v>CHSC126717</v>
      </c>
      <c r="E153" s="7" t="s">
        <v>194</v>
      </c>
      <c r="F153" s="7" t="str">
        <f>_xlfn.XLOOKUP(C153,[1]Herbarium_tissue_collected!$B:$B,[1]Herbarium_tissue_collected!$F:$F)</f>
        <v>4 axillary buds</v>
      </c>
      <c r="G153" s="7" t="str">
        <f>_xlfn.XLOOKUP(C153,[1]Herbarium_tissue_collected!$B:$B,[1]Herbarium_tissue_collected!$G:$G)</f>
        <v>yes, cauline w/ intermediate morphology</v>
      </c>
      <c r="H153" t="s">
        <v>29</v>
      </c>
      <c r="N153" s="6">
        <f>_xlfn.XLOOKUP(C153,[1]Herbarium_tissue_collected!$B:$B,[1]Herbarium_tissue_collected!$E:$E)</f>
        <v>1968</v>
      </c>
    </row>
    <row r="154" spans="1:14" x14ac:dyDescent="0.2">
      <c r="A154" t="s">
        <v>28</v>
      </c>
      <c r="B154" t="s">
        <v>21</v>
      </c>
      <c r="C154">
        <v>3792189</v>
      </c>
      <c r="D154" s="3" t="str">
        <f>_xlfn.XLOOKUP(C154,[1]Herbarium_tissue_collected!$B:$B,[1]Herbarium_tissue_collected!$D:$D)</f>
        <v>FSC0010474</v>
      </c>
      <c r="E154" s="3" t="s">
        <v>195</v>
      </c>
      <c r="F154" s="3" t="str">
        <f>_xlfn.XLOOKUP(C154,[1]Herbarium_tissue_collected!$B:$B,[1]Herbarium_tissue_collected!$F:$F)</f>
        <v>3 bud clusters and lil leaf</v>
      </c>
      <c r="G154" s="3" t="str">
        <f>_xlfn.XLOOKUP(C154,[1]Herbarium_tissue_collected!$B:$B,[1]Herbarium_tissue_collected!$G:$G)</f>
        <v>yes, cauline with basal morphology</v>
      </c>
      <c r="H154" t="s">
        <v>29</v>
      </c>
      <c r="I154" t="s">
        <v>287</v>
      </c>
      <c r="N154">
        <f>_xlfn.XLOOKUP(C154,[1]Herbarium_tissue_collected!$B:$B,[1]Herbarium_tissue_collected!$E:$E)</f>
        <v>1970</v>
      </c>
    </row>
    <row r="155" spans="1:14" x14ac:dyDescent="0.2">
      <c r="A155" t="s">
        <v>28</v>
      </c>
      <c r="B155" t="s">
        <v>21</v>
      </c>
      <c r="C155">
        <v>2039506</v>
      </c>
      <c r="D155" s="3" t="str">
        <f>_xlfn.XLOOKUP(C155,[1]Herbarium_tissue_collected!$B:$B,[1]Herbarium_tissue_collected!$D:$D)</f>
        <v>CHSC026459</v>
      </c>
      <c r="E155" s="3" t="s">
        <v>196</v>
      </c>
      <c r="F155" s="3" t="str">
        <f>_xlfn.XLOOKUP(C155,[1]Herbarium_tissue_collected!$B:$B,[1]Herbarium_tissue_collected!$F:$F)</f>
        <v>1 axillary bud, 1 large bud cluster</v>
      </c>
      <c r="G155" s="3" t="str">
        <f>_xlfn.XLOOKUP(C155,[1]Herbarium_tissue_collected!$B:$B,[1]Herbarium_tissue_collected!$G:$G)</f>
        <v>yes, basal</v>
      </c>
      <c r="H155" t="s">
        <v>29</v>
      </c>
      <c r="I155" t="s">
        <v>284</v>
      </c>
      <c r="K155" t="s">
        <v>294</v>
      </c>
      <c r="N155">
        <f>_xlfn.XLOOKUP(C155,[1]Herbarium_tissue_collected!$B:$B,[1]Herbarium_tissue_collected!$E:$E)</f>
        <v>1971</v>
      </c>
    </row>
    <row r="156" spans="1:14" x14ac:dyDescent="0.2">
      <c r="A156" t="s">
        <v>28</v>
      </c>
      <c r="B156" t="s">
        <v>21</v>
      </c>
      <c r="C156">
        <v>2439512</v>
      </c>
      <c r="D156" s="3">
        <f>_xlfn.XLOOKUP(C156,[1]Herbarium_tissue_collected!$B:$B,[1]Herbarium_tissue_collected!$D:$D)</f>
        <v>74266</v>
      </c>
      <c r="E156" s="3">
        <v>74266</v>
      </c>
      <c r="F156" s="3" t="str">
        <f>_xlfn.XLOOKUP(C156,[1]Herbarium_tissue_collected!$B:$B,[1]Herbarium_tissue_collected!$F:$F)</f>
        <v>3 axiallary buds</v>
      </c>
      <c r="G156" s="3" t="str">
        <f>_xlfn.XLOOKUP(C156,[1]Herbarium_tissue_collected!$B:$B,[1]Herbarium_tissue_collected!$G:$G)</f>
        <v>yes, basal</v>
      </c>
      <c r="H156" t="s">
        <v>29</v>
      </c>
      <c r="I156" t="s">
        <v>287</v>
      </c>
      <c r="N156">
        <f>_xlfn.XLOOKUP(C156,[1]Herbarium_tissue_collected!$B:$B,[1]Herbarium_tissue_collected!$E:$E)</f>
        <v>1973</v>
      </c>
    </row>
    <row r="157" spans="1:14" x14ac:dyDescent="0.2">
      <c r="A157" t="s">
        <v>28</v>
      </c>
      <c r="B157" t="s">
        <v>21</v>
      </c>
      <c r="C157">
        <v>2034914</v>
      </c>
      <c r="D157" s="3" t="str">
        <f>_xlfn.XLOOKUP(C157,[1]Herbarium_tissue_collected!$B:$B,[1]Herbarium_tissue_collected!$D:$D)</f>
        <v>CHSC021252</v>
      </c>
      <c r="E157" s="3" t="s">
        <v>197</v>
      </c>
      <c r="F157" s="3" t="str">
        <f>_xlfn.XLOOKUP(C157,[1]Herbarium_tissue_collected!$B:$B,[1]Herbarium_tissue_collected!$F:$F)</f>
        <v>2 axiallary bud, 1 little leaf</v>
      </c>
      <c r="G157" s="3" t="str">
        <f>_xlfn.XLOOKUP(C157,[1]Herbarium_tissue_collected!$B:$B,[1]Herbarium_tissue_collected!$G:$G)</f>
        <v>yes, basal</v>
      </c>
      <c r="H157" t="s">
        <v>29</v>
      </c>
      <c r="I157" t="s">
        <v>287</v>
      </c>
      <c r="N157">
        <f>_xlfn.XLOOKUP(C157,[1]Herbarium_tissue_collected!$B:$B,[1]Herbarium_tissue_collected!$E:$E)</f>
        <v>1975</v>
      </c>
    </row>
    <row r="158" spans="1:14" x14ac:dyDescent="0.2">
      <c r="A158" t="s">
        <v>28</v>
      </c>
      <c r="B158" t="s">
        <v>21</v>
      </c>
      <c r="C158">
        <v>2056948</v>
      </c>
      <c r="D158" s="3" t="str">
        <f>_xlfn.XLOOKUP(C158,[1]Herbarium_tissue_collected!$B:$B,[1]Herbarium_tissue_collected!$D:$D)</f>
        <v>CHSC046484</v>
      </c>
      <c r="E158" s="3" t="s">
        <v>198</v>
      </c>
      <c r="F158" s="3" t="str">
        <f>_xlfn.XLOOKUP(C158,[1]Herbarium_tissue_collected!$B:$B,[1]Herbarium_tissue_collected!$F:$F)</f>
        <v>1 big axillary bud</v>
      </c>
      <c r="G158" s="3" t="str">
        <f>_xlfn.XLOOKUP(C158,[1]Herbarium_tissue_collected!$B:$B,[1]Herbarium_tissue_collected!$G:$G)</f>
        <v>yes, basal</v>
      </c>
      <c r="H158" t="s">
        <v>29</v>
      </c>
      <c r="I158" t="s">
        <v>284</v>
      </c>
      <c r="K158" t="s">
        <v>294</v>
      </c>
      <c r="N158">
        <f>_xlfn.XLOOKUP(C158,[1]Herbarium_tissue_collected!$B:$B,[1]Herbarium_tissue_collected!$E:$E)</f>
        <v>1977</v>
      </c>
    </row>
    <row r="159" spans="1:14" x14ac:dyDescent="0.2">
      <c r="A159" t="s">
        <v>28</v>
      </c>
      <c r="B159" t="s">
        <v>21</v>
      </c>
      <c r="C159">
        <v>2040704</v>
      </c>
      <c r="D159" s="3" t="str">
        <f>_xlfn.XLOOKUP(C159,[1]Herbarium_tissue_collected!$B:$B,[1]Herbarium_tissue_collected!$D:$D)</f>
        <v>CHSC027838</v>
      </c>
      <c r="E159" s="3" t="s">
        <v>199</v>
      </c>
      <c r="F159" s="3" t="str">
        <f>_xlfn.XLOOKUP(C159,[1]Herbarium_tissue_collected!$B:$B,[1]Herbarium_tissue_collected!$F:$F)</f>
        <v>4 axiallary buds, 1 leaf</v>
      </c>
      <c r="G159" s="3" t="str">
        <f>_xlfn.XLOOKUP(C159,[1]Herbarium_tissue_collected!$B:$B,[1]Herbarium_tissue_collected!$G:$G)</f>
        <v>yes, basal</v>
      </c>
      <c r="H159" t="s">
        <v>29</v>
      </c>
      <c r="N159">
        <f>_xlfn.XLOOKUP(C159,[1]Herbarium_tissue_collected!$B:$B,[1]Herbarium_tissue_collected!$E:$E)</f>
        <v>1978</v>
      </c>
    </row>
    <row r="160" spans="1:14" x14ac:dyDescent="0.2">
      <c r="A160" t="s">
        <v>28</v>
      </c>
      <c r="B160" t="s">
        <v>21</v>
      </c>
      <c r="C160">
        <v>2044164</v>
      </c>
      <c r="D160" s="3" t="str">
        <f>_xlfn.XLOOKUP(C160,[1]Herbarium_tissue_collected!$B:$B,[1]Herbarium_tissue_collected!$D:$D)</f>
        <v>CHSC031957</v>
      </c>
      <c r="E160" s="3" t="s">
        <v>200</v>
      </c>
      <c r="F160" s="3" t="str">
        <f>_xlfn.XLOOKUP(C160,[1]Herbarium_tissue_collected!$B:$B,[1]Herbarium_tissue_collected!$F:$F)</f>
        <v>5 axillary buds</v>
      </c>
      <c r="G160" s="3" t="str">
        <f>_xlfn.XLOOKUP(C160,[1]Herbarium_tissue_collected!$B:$B,[1]Herbarium_tissue_collected!$G:$G)</f>
        <v>yes, basal</v>
      </c>
      <c r="H160" t="s">
        <v>29</v>
      </c>
      <c r="I160" t="s">
        <v>287</v>
      </c>
      <c r="N160">
        <f>_xlfn.XLOOKUP(C160,[1]Herbarium_tissue_collected!$B:$B,[1]Herbarium_tissue_collected!$E:$E)</f>
        <v>1979</v>
      </c>
    </row>
    <row r="161" spans="1:14" x14ac:dyDescent="0.2">
      <c r="A161" t="s">
        <v>28</v>
      </c>
      <c r="B161" t="s">
        <v>22</v>
      </c>
      <c r="C161">
        <v>2314219</v>
      </c>
      <c r="D161" s="3">
        <f>_xlfn.XLOOKUP(C161,[1]Herbarium_tissue_collected!$B:$B,[1]Herbarium_tissue_collected!$D:$D)</f>
        <v>74265</v>
      </c>
      <c r="E161" s="3">
        <v>74265</v>
      </c>
      <c r="F161" s="3" t="str">
        <f>_xlfn.XLOOKUP(C161,[1]Herbarium_tissue_collected!$B:$B,[1]Herbarium_tissue_collected!$F:$F)</f>
        <v>2 terminal bud cluster</v>
      </c>
      <c r="G161" s="3" t="str">
        <f>_xlfn.XLOOKUP(C161,[1]Herbarium_tissue_collected!$B:$B,[1]Herbarium_tissue_collected!$G:$G)</f>
        <v>yes, basal</v>
      </c>
      <c r="H161" t="s">
        <v>29</v>
      </c>
      <c r="I161" s="3" t="s">
        <v>284</v>
      </c>
      <c r="N161">
        <f>_xlfn.XLOOKUP(C161,[1]Herbarium_tissue_collected!$B:$B,[1]Herbarium_tissue_collected!$E:$E)</f>
        <v>1980</v>
      </c>
    </row>
    <row r="162" spans="1:14" s="6" customFormat="1" x14ac:dyDescent="0.2">
      <c r="A162" s="6" t="s">
        <v>28</v>
      </c>
      <c r="B162" s="6" t="s">
        <v>22</v>
      </c>
      <c r="C162" s="6">
        <v>2308947</v>
      </c>
      <c r="D162" s="7">
        <f>_xlfn.XLOOKUP(C162,[1]Herbarium_tissue_collected!$B:$B,[1]Herbarium_tissue_collected!$D:$D)</f>
        <v>74179</v>
      </c>
      <c r="E162" s="7">
        <v>74179</v>
      </c>
      <c r="F162" s="7" t="str">
        <f>_xlfn.XLOOKUP(C162,[1]Herbarium_tissue_collected!$B:$B,[1]Herbarium_tissue_collected!$F:$F)</f>
        <v>2 axiallary buds, 1 terminal bud cluster</v>
      </c>
      <c r="G162" s="7" t="str">
        <f>_xlfn.XLOOKUP(C162,[1]Herbarium_tissue_collected!$B:$B,[1]Herbarium_tissue_collected!$G:$G)</f>
        <v>yes, cauline</v>
      </c>
      <c r="H162" t="s">
        <v>29</v>
      </c>
      <c r="N162" s="6">
        <f>_xlfn.XLOOKUP(C162,[1]Herbarium_tissue_collected!$B:$B,[1]Herbarium_tissue_collected!$E:$E)</f>
        <v>1980</v>
      </c>
    </row>
    <row r="163" spans="1:14" x14ac:dyDescent="0.2">
      <c r="A163" t="s">
        <v>28</v>
      </c>
      <c r="B163" t="s">
        <v>22</v>
      </c>
      <c r="C163">
        <v>2315373</v>
      </c>
      <c r="D163" s="3">
        <f>_xlfn.XLOOKUP(C163,[1]Herbarium_tissue_collected!$B:$B,[1]Herbarium_tissue_collected!$D:$D)</f>
        <v>74238</v>
      </c>
      <c r="E163" s="3">
        <v>74238</v>
      </c>
      <c r="F163" s="3" t="str">
        <f>_xlfn.XLOOKUP(C163,[1]Herbarium_tissue_collected!$B:$B,[1]Herbarium_tissue_collected!$F:$F)</f>
        <v>2 axillary buds, 1 large terminal cluster</v>
      </c>
      <c r="G163" s="3" t="str">
        <f>_xlfn.XLOOKUP(C163,[1]Herbarium_tissue_collected!$B:$B,[1]Herbarium_tissue_collected!$G:$G)</f>
        <v>yes, basal</v>
      </c>
      <c r="H163" t="s">
        <v>29</v>
      </c>
      <c r="I163" t="s">
        <v>287</v>
      </c>
      <c r="N163">
        <f>_xlfn.XLOOKUP(C163,[1]Herbarium_tissue_collected!$B:$B,[1]Herbarium_tissue_collected!$E:$E)</f>
        <v>1981</v>
      </c>
    </row>
    <row r="164" spans="1:14" x14ac:dyDescent="0.2">
      <c r="A164" t="s">
        <v>28</v>
      </c>
      <c r="B164" t="s">
        <v>22</v>
      </c>
      <c r="C164">
        <v>2322749</v>
      </c>
      <c r="D164" s="3">
        <f>_xlfn.XLOOKUP(C164,[1]Herbarium_tissue_collected!$B:$B,[1]Herbarium_tissue_collected!$D:$D)</f>
        <v>74237</v>
      </c>
      <c r="E164" s="3">
        <v>74237</v>
      </c>
      <c r="F164" s="3" t="str">
        <f>_xlfn.XLOOKUP(C164,[1]Herbarium_tissue_collected!$B:$B,[1]Herbarium_tissue_collected!$F:$F)</f>
        <v>2 terminal bud clusters, 1 axillary bud</v>
      </c>
      <c r="G164" s="3" t="str">
        <f>_xlfn.XLOOKUP(C164,[1]Herbarium_tissue_collected!$B:$B,[1]Herbarium_tissue_collected!$G:$G)</f>
        <v>yes, basal</v>
      </c>
      <c r="H164" t="s">
        <v>29</v>
      </c>
      <c r="I164" s="3" t="s">
        <v>284</v>
      </c>
      <c r="N164">
        <f>_xlfn.XLOOKUP(C164,[1]Herbarium_tissue_collected!$B:$B,[1]Herbarium_tissue_collected!$E:$E)</f>
        <v>1982</v>
      </c>
    </row>
    <row r="165" spans="1:14" s="6" customFormat="1" x14ac:dyDescent="0.2">
      <c r="A165" s="6" t="s">
        <v>28</v>
      </c>
      <c r="B165" s="6" t="s">
        <v>22</v>
      </c>
      <c r="C165" s="6">
        <v>2049536</v>
      </c>
      <c r="D165" s="7" t="str">
        <f>_xlfn.XLOOKUP(C165,[1]Herbarium_tissue_collected!$B:$B,[1]Herbarium_tissue_collected!$D:$D)</f>
        <v>CHSC038033</v>
      </c>
      <c r="E165" s="7" t="s">
        <v>201</v>
      </c>
      <c r="F165" s="7" t="str">
        <f>_xlfn.XLOOKUP(C165,[1]Herbarium_tissue_collected!$B:$B,[1]Herbarium_tissue_collected!$F:$F)</f>
        <v>3 axiallary buds</v>
      </c>
      <c r="G165" s="7" t="str">
        <f>_xlfn.XLOOKUP(C165,[1]Herbarium_tissue_collected!$B:$B,[1]Herbarium_tissue_collected!$G:$G)</f>
        <v>yes, basal</v>
      </c>
      <c r="H165" t="s">
        <v>29</v>
      </c>
      <c r="N165" s="6">
        <f>_xlfn.XLOOKUP(C165,[1]Herbarium_tissue_collected!$B:$B,[1]Herbarium_tissue_collected!$E:$E)</f>
        <v>1982</v>
      </c>
    </row>
    <row r="166" spans="1:14" s="6" customFormat="1" x14ac:dyDescent="0.2">
      <c r="A166" s="6" t="s">
        <v>28</v>
      </c>
      <c r="B166" s="6" t="s">
        <v>22</v>
      </c>
      <c r="C166" s="6">
        <v>2049533</v>
      </c>
      <c r="D166" s="7" t="str">
        <f>_xlfn.XLOOKUP(C166,[1]Herbarium_tissue_collected!$B:$B,[1]Herbarium_tissue_collected!$D:$D)</f>
        <v>CHSC038030</v>
      </c>
      <c r="E166" s="7" t="s">
        <v>202</v>
      </c>
      <c r="F166" s="7" t="str">
        <f>_xlfn.XLOOKUP(C166,[1]Herbarium_tissue_collected!$B:$B,[1]Herbarium_tissue_collected!$F:$F)</f>
        <v>4 axiallary buds</v>
      </c>
      <c r="G166" s="7" t="str">
        <f>_xlfn.XLOOKUP(C166,[1]Herbarium_tissue_collected!$B:$B,[1]Herbarium_tissue_collected!$G:$G)</f>
        <v>yes, basal</v>
      </c>
      <c r="H166" t="s">
        <v>29</v>
      </c>
      <c r="N166" s="6">
        <f>_xlfn.XLOOKUP(C166,[1]Herbarium_tissue_collected!$B:$B,[1]Herbarium_tissue_collected!$E:$E)</f>
        <v>1982</v>
      </c>
    </row>
    <row r="167" spans="1:14" s="6" customFormat="1" x14ac:dyDescent="0.2">
      <c r="A167" s="6" t="s">
        <v>28</v>
      </c>
      <c r="B167" s="6" t="s">
        <v>22</v>
      </c>
      <c r="C167" s="6">
        <v>2049534</v>
      </c>
      <c r="D167" s="7" t="str">
        <f>_xlfn.XLOOKUP(C167,[1]Herbarium_tissue_collected!$B:$B,[1]Herbarium_tissue_collected!$D:$D)</f>
        <v>CHSC038031</v>
      </c>
      <c r="E167" s="7" t="s">
        <v>203</v>
      </c>
      <c r="F167" s="7" t="str">
        <f>_xlfn.XLOOKUP(C167,[1]Herbarium_tissue_collected!$B:$B,[1]Herbarium_tissue_collected!$F:$F)</f>
        <v>4 axillary buds</v>
      </c>
      <c r="G167" s="7" t="str">
        <f>_xlfn.XLOOKUP(C167,[1]Herbarium_tissue_collected!$B:$B,[1]Herbarium_tissue_collected!$G:$G)</f>
        <v>yes, basal</v>
      </c>
      <c r="H167" t="s">
        <v>29</v>
      </c>
      <c r="N167" s="6">
        <f>_xlfn.XLOOKUP(C167,[1]Herbarium_tissue_collected!$B:$B,[1]Herbarium_tissue_collected!$E:$E)</f>
        <v>1982</v>
      </c>
    </row>
    <row r="168" spans="1:14" x14ac:dyDescent="0.2">
      <c r="A168" t="s">
        <v>28</v>
      </c>
      <c r="B168" t="s">
        <v>22</v>
      </c>
      <c r="C168">
        <v>2049555</v>
      </c>
      <c r="D168" s="3" t="str">
        <f>_xlfn.XLOOKUP(C168,[1]Herbarium_tissue_collected!$B:$B,[1]Herbarium_tissue_collected!$D:$D)</f>
        <v>CHSC038052</v>
      </c>
      <c r="E168" s="3" t="s">
        <v>204</v>
      </c>
      <c r="F168" s="3" t="str">
        <f>_xlfn.XLOOKUP(C168,[1]Herbarium_tissue_collected!$B:$B,[1]Herbarium_tissue_collected!$F:$F)</f>
        <v>3 axillary bud, 1 little leaf</v>
      </c>
      <c r="G168" s="3" t="str">
        <f>_xlfn.XLOOKUP(C168,[1]Herbarium_tissue_collected!$B:$B,[1]Herbarium_tissue_collected!$G:$G)</f>
        <v>yes, cauline w/ intermediate morphology</v>
      </c>
      <c r="H168" t="s">
        <v>29</v>
      </c>
      <c r="I168" t="s">
        <v>287</v>
      </c>
      <c r="N168">
        <f>_xlfn.XLOOKUP(C168,[1]Herbarium_tissue_collected!$B:$B,[1]Herbarium_tissue_collected!$E:$E)</f>
        <v>1983</v>
      </c>
    </row>
    <row r="169" spans="1:14" x14ac:dyDescent="0.2">
      <c r="A169" t="s">
        <v>28</v>
      </c>
      <c r="B169" t="s">
        <v>22</v>
      </c>
      <c r="C169">
        <v>2057404</v>
      </c>
      <c r="D169" s="3" t="str">
        <f>_xlfn.XLOOKUP(C169,[1]Herbarium_tissue_collected!$B:$B,[1]Herbarium_tissue_collected!$D:$D)</f>
        <v>CHSC047040</v>
      </c>
      <c r="E169" s="3" t="s">
        <v>205</v>
      </c>
      <c r="F169" s="3" t="str">
        <f>_xlfn.XLOOKUP(C169,[1]Herbarium_tissue_collected!$B:$B,[1]Herbarium_tissue_collected!$F:$F)</f>
        <v>2 big bud clusters</v>
      </c>
      <c r="G169" s="3" t="str">
        <f>_xlfn.XLOOKUP(C169,[1]Herbarium_tissue_collected!$B:$B,[1]Herbarium_tissue_collected!$G:$G)</f>
        <v>yes, cauline with basal morphology</v>
      </c>
      <c r="H169" t="s">
        <v>29</v>
      </c>
      <c r="I169" t="s">
        <v>287</v>
      </c>
      <c r="N169">
        <f>_xlfn.XLOOKUP(C169,[1]Herbarium_tissue_collected!$B:$B,[1]Herbarium_tissue_collected!$E:$E)</f>
        <v>1985</v>
      </c>
    </row>
    <row r="170" spans="1:14" x14ac:dyDescent="0.2">
      <c r="A170" t="s">
        <v>28</v>
      </c>
      <c r="B170" t="s">
        <v>23</v>
      </c>
      <c r="C170">
        <v>469072</v>
      </c>
      <c r="D170" s="3" t="str">
        <f>_xlfn.XLOOKUP(C170,[1]Herbarium_tissue_collected!$B:$B,[1]Herbarium_tissue_collected!$D:$D)</f>
        <v>SD00062796</v>
      </c>
      <c r="E170" s="3" t="s">
        <v>206</v>
      </c>
      <c r="F170" s="3" t="str">
        <f>_xlfn.XLOOKUP(C170,[1]Herbarium_tissue_collected!$B:$B,[1]Herbarium_tissue_collected!$F:$F)</f>
        <v>2 axiallary buds, small leaf</v>
      </c>
      <c r="G170" s="3" t="str">
        <f>_xlfn.XLOOKUP(C170,[1]Herbarium_tissue_collected!$B:$B,[1]Herbarium_tissue_collected!$G:$G)</f>
        <v>yes, cauline</v>
      </c>
      <c r="H170" t="s">
        <v>29</v>
      </c>
      <c r="I170" t="s">
        <v>287</v>
      </c>
      <c r="N170">
        <f>_xlfn.XLOOKUP(C170,[1]Herbarium_tissue_collected!$B:$B,[1]Herbarium_tissue_collected!$E:$E)</f>
        <v>1990</v>
      </c>
    </row>
    <row r="171" spans="1:14" x14ac:dyDescent="0.2">
      <c r="A171" t="s">
        <v>28</v>
      </c>
      <c r="B171" t="s">
        <v>23</v>
      </c>
      <c r="C171">
        <v>1367989</v>
      </c>
      <c r="D171" s="3" t="str">
        <f>_xlfn.XLOOKUP(C171,[1]Herbarium_tissue_collected!$B:$B,[1]Herbarium_tissue_collected!$D:$D)</f>
        <v>DAV310445</v>
      </c>
      <c r="E171" s="3" t="s">
        <v>207</v>
      </c>
      <c r="F171" s="3" t="str">
        <f>_xlfn.XLOOKUP(C171,[1]Herbarium_tissue_collected!$B:$B,[1]Herbarium_tissue_collected!$F:$F)</f>
        <v>4 axiallary buds</v>
      </c>
      <c r="G171" s="3" t="str">
        <f>_xlfn.XLOOKUP(C171,[1]Herbarium_tissue_collected!$B:$B,[1]Herbarium_tissue_collected!$G:$G)</f>
        <v>yes, basal</v>
      </c>
      <c r="H171" t="s">
        <v>29</v>
      </c>
      <c r="I171" s="3" t="s">
        <v>284</v>
      </c>
      <c r="N171">
        <f>_xlfn.XLOOKUP(C171,[1]Herbarium_tissue_collected!$B:$B,[1]Herbarium_tissue_collected!$E:$E)</f>
        <v>1992</v>
      </c>
    </row>
    <row r="172" spans="1:14" s="6" customFormat="1" x14ac:dyDescent="0.2">
      <c r="A172" s="6" t="s">
        <v>28</v>
      </c>
      <c r="B172" s="6" t="s">
        <v>23</v>
      </c>
      <c r="C172" s="6">
        <v>1617536</v>
      </c>
      <c r="D172" s="7" t="str">
        <f>_xlfn.XLOOKUP(C172,[1]Herbarium_tissue_collected!$B:$B,[1]Herbarium_tissue_collected!$D:$D)</f>
        <v>UCR0083309</v>
      </c>
      <c r="E172" s="7" t="s">
        <v>208</v>
      </c>
      <c r="F172" s="7" t="str">
        <f>_xlfn.XLOOKUP(C172,[1]Herbarium_tissue_collected!$B:$B,[1]Herbarium_tissue_collected!$F:$F)</f>
        <v>3 axiallary bud, 1 little leaf</v>
      </c>
      <c r="G172" s="7" t="str">
        <f>_xlfn.XLOOKUP(C172,[1]Herbarium_tissue_collected!$B:$B,[1]Herbarium_tissue_collected!$G:$G)</f>
        <v xml:space="preserve">yes, basal </v>
      </c>
      <c r="H172" t="s">
        <v>29</v>
      </c>
      <c r="N172" s="6">
        <f>_xlfn.XLOOKUP(C172,[1]Herbarium_tissue_collected!$B:$B,[1]Herbarium_tissue_collected!$E:$E)</f>
        <v>1992</v>
      </c>
    </row>
    <row r="173" spans="1:14" s="6" customFormat="1" x14ac:dyDescent="0.2">
      <c r="A173" s="6" t="s">
        <v>28</v>
      </c>
      <c r="B173" s="6" t="s">
        <v>23</v>
      </c>
      <c r="C173" s="6">
        <v>2767898</v>
      </c>
      <c r="D173" s="7">
        <f>_xlfn.XLOOKUP(C173,[1]Herbarium_tissue_collected!$B:$B,[1]Herbarium_tissue_collected!$D:$D)</f>
        <v>539372</v>
      </c>
      <c r="E173" s="7">
        <v>539372</v>
      </c>
      <c r="F173" s="7" t="str">
        <f>_xlfn.XLOOKUP(C173,[1]Herbarium_tissue_collected!$B:$B,[1]Herbarium_tissue_collected!$F:$F)</f>
        <v>1 terminal bud cluster, 2 axillary buds</v>
      </c>
      <c r="G173" s="7" t="str">
        <f>_xlfn.XLOOKUP(C173,[1]Herbarium_tissue_collected!$B:$B,[1]Herbarium_tissue_collected!$G:$G)</f>
        <v>yes, cauline with basal morphology</v>
      </c>
      <c r="H173" t="s">
        <v>29</v>
      </c>
      <c r="N173" s="6">
        <f>_xlfn.XLOOKUP(C173,[1]Herbarium_tissue_collected!$B:$B,[1]Herbarium_tissue_collected!$E:$E)</f>
        <v>1992</v>
      </c>
    </row>
    <row r="174" spans="1:14" x14ac:dyDescent="0.2">
      <c r="A174" t="s">
        <v>28</v>
      </c>
      <c r="B174" t="s">
        <v>23</v>
      </c>
      <c r="C174">
        <v>1333957</v>
      </c>
      <c r="D174" s="3" t="str">
        <f>_xlfn.XLOOKUP(C174,[1]Herbarium_tissue_collected!$B:$B,[1]Herbarium_tissue_collected!$D:$D)</f>
        <v>DAV300674</v>
      </c>
      <c r="E174" s="3" t="s">
        <v>209</v>
      </c>
      <c r="F174" s="3" t="str">
        <f>_xlfn.XLOOKUP(C174,[1]Herbarium_tissue_collected!$B:$B,[1]Herbarium_tissue_collected!$F:$F)</f>
        <v>5 axillary buds, 1 little leaf</v>
      </c>
      <c r="G174" s="3" t="str">
        <f>_xlfn.XLOOKUP(C174,[1]Herbarium_tissue_collected!$B:$B,[1]Herbarium_tissue_collected!$G:$G)</f>
        <v>yes, basal</v>
      </c>
      <c r="H174" t="s">
        <v>29</v>
      </c>
      <c r="I174" s="3" t="s">
        <v>284</v>
      </c>
      <c r="N174">
        <f>_xlfn.XLOOKUP(C174,[1]Herbarium_tissue_collected!$B:$B,[1]Herbarium_tissue_collected!$E:$E)</f>
        <v>1995</v>
      </c>
    </row>
    <row r="175" spans="1:14" s="6" customFormat="1" x14ac:dyDescent="0.2">
      <c r="A175" s="6" t="s">
        <v>28</v>
      </c>
      <c r="B175" s="6" t="s">
        <v>23</v>
      </c>
      <c r="C175" s="6">
        <v>2071112</v>
      </c>
      <c r="D175" s="7" t="str">
        <f>_xlfn.XLOOKUP(C175,[1]Herbarium_tissue_collected!$B:$B,[1]Herbarium_tissue_collected!$D:$D)</f>
        <v>CHSC065917</v>
      </c>
      <c r="E175" s="7" t="s">
        <v>210</v>
      </c>
      <c r="F175" s="7" t="str">
        <f>_xlfn.XLOOKUP(C175,[1]Herbarium_tissue_collected!$B:$B,[1]Herbarium_tissue_collected!$F:$F)</f>
        <v>3 axiallary buds</v>
      </c>
      <c r="G175" s="7" t="str">
        <f>_xlfn.XLOOKUP(C175,[1]Herbarium_tissue_collected!$B:$B,[1]Herbarium_tissue_collected!$G:$G)</f>
        <v>yes, cauline w/ intermediate morphology</v>
      </c>
      <c r="H175" t="s">
        <v>29</v>
      </c>
      <c r="N175" s="6">
        <f>_xlfn.XLOOKUP(C175,[1]Herbarium_tissue_collected!$B:$B,[1]Herbarium_tissue_collected!$E:$E)</f>
        <v>1996</v>
      </c>
    </row>
    <row r="176" spans="1:14" x14ac:dyDescent="0.2">
      <c r="A176" t="s">
        <v>28</v>
      </c>
      <c r="B176" t="s">
        <v>23</v>
      </c>
      <c r="C176">
        <v>3278418</v>
      </c>
      <c r="D176" s="3" t="str">
        <f>_xlfn.XLOOKUP(C176,[1]Herbarium_tissue_collected!$B:$B,[1]Herbarium_tissue_collected!$D:$D)</f>
        <v>JEPS88506</v>
      </c>
      <c r="E176" s="3" t="s">
        <v>211</v>
      </c>
      <c r="F176" s="3" t="str">
        <f>_xlfn.XLOOKUP(C176,[1]Herbarium_tissue_collected!$B:$B,[1]Herbarium_tissue_collected!$F:$F)</f>
        <v>4 bud clusters</v>
      </c>
      <c r="G176" s="3" t="str">
        <f>_xlfn.XLOOKUP(C176,[1]Herbarium_tissue_collected!$B:$B,[1]Herbarium_tissue_collected!$G:$G)</f>
        <v>yes, basal</v>
      </c>
      <c r="H176" t="s">
        <v>29</v>
      </c>
      <c r="I176" s="3" t="s">
        <v>284</v>
      </c>
      <c r="N176">
        <f>_xlfn.XLOOKUP(C176,[1]Herbarium_tissue_collected!$B:$B,[1]Herbarium_tissue_collected!$E:$E)</f>
        <v>1996</v>
      </c>
    </row>
    <row r="177" spans="1:14" s="6" customFormat="1" x14ac:dyDescent="0.2">
      <c r="A177" s="6" t="s">
        <v>28</v>
      </c>
      <c r="B177" s="6" t="s">
        <v>23</v>
      </c>
      <c r="C177" s="6">
        <v>1339126</v>
      </c>
      <c r="D177" s="7" t="str">
        <f>_xlfn.XLOOKUP(C177,[1]Herbarium_tissue_collected!$B:$B,[1]Herbarium_tissue_collected!$D:$D)</f>
        <v>DAV310439</v>
      </c>
      <c r="E177" s="7" t="s">
        <v>212</v>
      </c>
      <c r="F177" s="7" t="str">
        <f>_xlfn.XLOOKUP(C177,[1]Herbarium_tissue_collected!$B:$B,[1]Herbarium_tissue_collected!$F:$F)</f>
        <v>4 axiallary buds</v>
      </c>
      <c r="G177" s="7" t="str">
        <f>_xlfn.XLOOKUP(C177,[1]Herbarium_tissue_collected!$B:$B,[1]Herbarium_tissue_collected!$G:$G)</f>
        <v>yes, cauline w/ intermediate morphology</v>
      </c>
      <c r="H177" t="s">
        <v>29</v>
      </c>
      <c r="N177" s="6">
        <f>_xlfn.XLOOKUP(C177,[1]Herbarium_tissue_collected!$B:$B,[1]Herbarium_tissue_collected!$E:$E)</f>
        <v>1997</v>
      </c>
    </row>
    <row r="178" spans="1:14" x14ac:dyDescent="0.2">
      <c r="A178" t="s">
        <v>28</v>
      </c>
      <c r="B178" t="s">
        <v>23</v>
      </c>
      <c r="C178">
        <v>3776588</v>
      </c>
      <c r="D178" s="3" t="str">
        <f>_xlfn.XLOOKUP(C178,[1]Herbarium_tissue_collected!$B:$B,[1]Herbarium_tissue_collected!$D:$D)</f>
        <v>DAV328011</v>
      </c>
      <c r="E178" s="3" t="s">
        <v>213</v>
      </c>
      <c r="F178" s="3" t="str">
        <f>_xlfn.XLOOKUP(C178,[1]Herbarium_tissue_collected!$B:$B,[1]Herbarium_tissue_collected!$F:$F)</f>
        <v>3 axiallary bud, 1 little leaf</v>
      </c>
      <c r="G178" s="3" t="str">
        <f>_xlfn.XLOOKUP(C178,[1]Herbarium_tissue_collected!$B:$B,[1]Herbarium_tissue_collected!$G:$G)</f>
        <v>yes, cauline with basal morphology</v>
      </c>
      <c r="H178" t="s">
        <v>29</v>
      </c>
      <c r="I178" t="s">
        <v>287</v>
      </c>
      <c r="N178">
        <f>_xlfn.XLOOKUP(C178,[1]Herbarium_tissue_collected!$B:$B,[1]Herbarium_tissue_collected!$E:$E)</f>
        <v>1997</v>
      </c>
    </row>
    <row r="179" spans="1:14" x14ac:dyDescent="0.2">
      <c r="A179" t="s">
        <v>28</v>
      </c>
      <c r="B179" t="s">
        <v>24</v>
      </c>
      <c r="C179">
        <v>1327836</v>
      </c>
      <c r="D179" s="3" t="str">
        <f>_xlfn.XLOOKUP(C179,[1]Herbarium_tissue_collected!$B:$B,[1]Herbarium_tissue_collected!$D:$D)</f>
        <v>DAV315352</v>
      </c>
      <c r="E179" s="3" t="s">
        <v>214</v>
      </c>
      <c r="F179" s="3" t="str">
        <f>_xlfn.XLOOKUP(C179,[1]Herbarium_tissue_collected!$B:$B,[1]Herbarium_tissue_collected!$F:$F)</f>
        <v>1 big axillary bud cluster</v>
      </c>
      <c r="G179" s="9" t="str">
        <f>_xlfn.XLOOKUP(C179,[1]Herbarium_tissue_collected!$B:$B,[1]Herbarium_tissue_collected!$G:$G)</f>
        <v>no</v>
      </c>
      <c r="H179" t="s">
        <v>29</v>
      </c>
      <c r="I179" t="s">
        <v>83</v>
      </c>
      <c r="N179">
        <f>_xlfn.XLOOKUP(C179,[1]Herbarium_tissue_collected!$B:$B,[1]Herbarium_tissue_collected!$E:$E)</f>
        <v>2000</v>
      </c>
    </row>
    <row r="180" spans="1:14" x14ac:dyDescent="0.2">
      <c r="A180" t="s">
        <v>28</v>
      </c>
      <c r="B180" t="s">
        <v>24</v>
      </c>
      <c r="C180">
        <v>1368009</v>
      </c>
      <c r="D180" s="3" t="str">
        <f>_xlfn.XLOOKUP(C180,[1]Herbarium_tissue_collected!$B:$B,[1]Herbarium_tissue_collected!$D:$D)</f>
        <v>DAV310425</v>
      </c>
      <c r="E180" s="3" t="s">
        <v>215</v>
      </c>
      <c r="F180" s="3">
        <f>_xlfn.XLOOKUP(C180,[1]Herbarium_tissue_collected!$B:$B,[1]Herbarium_tissue_collected!$F:$F)</f>
        <v>0</v>
      </c>
      <c r="G180" s="3">
        <f>_xlfn.XLOOKUP(C180,[1]Herbarium_tissue_collected!$B:$B,[1]Herbarium_tissue_collected!$G:$G)</f>
        <v>0</v>
      </c>
      <c r="H180" t="s">
        <v>29</v>
      </c>
      <c r="I180" t="s">
        <v>83</v>
      </c>
      <c r="N180">
        <f>_xlfn.XLOOKUP(C180,[1]Herbarium_tissue_collected!$B:$B,[1]Herbarium_tissue_collected!$E:$E)</f>
        <v>2007</v>
      </c>
    </row>
    <row r="181" spans="1:14" x14ac:dyDescent="0.2">
      <c r="A181" t="s">
        <v>28</v>
      </c>
      <c r="B181" t="s">
        <v>24</v>
      </c>
      <c r="C181">
        <v>1367985</v>
      </c>
      <c r="D181" s="3" t="str">
        <f>_xlfn.XLOOKUP(C181,[1]Herbarium_tissue_collected!$B:$B,[1]Herbarium_tissue_collected!$D:$D)</f>
        <v>DAV300676</v>
      </c>
      <c r="E181" s="3" t="s">
        <v>216</v>
      </c>
      <c r="F181" s="3" t="str">
        <f>_xlfn.XLOOKUP(C181,[1]Herbarium_tissue_collected!$B:$B,[1]Herbarium_tissue_collected!$F:$F)</f>
        <v>4 axiallary buds</v>
      </c>
      <c r="G181" s="3" t="str">
        <f>_xlfn.XLOOKUP(C181,[1]Herbarium_tissue_collected!$B:$B,[1]Herbarium_tissue_collected!$G:$G)</f>
        <v>yes, cauline w/ intermediate morphology</v>
      </c>
      <c r="H181" t="s">
        <v>29</v>
      </c>
      <c r="I181" t="s">
        <v>284</v>
      </c>
      <c r="N181">
        <f>_xlfn.XLOOKUP(C181,[1]Herbarium_tissue_collected!$B:$B,[1]Herbarium_tissue_collected!$E:$E)</f>
        <v>2000</v>
      </c>
    </row>
    <row r="182" spans="1:14" x14ac:dyDescent="0.2">
      <c r="A182" t="s">
        <v>28</v>
      </c>
      <c r="B182" t="s">
        <v>24</v>
      </c>
      <c r="C182">
        <v>1302899</v>
      </c>
      <c r="D182" s="3" t="str">
        <f>_xlfn.XLOOKUP(C182,[1]Herbarium_tissue_collected!$B:$B,[1]Herbarium_tissue_collected!$D:$D)</f>
        <v>DAV300672</v>
      </c>
      <c r="E182" s="3" t="s">
        <v>217</v>
      </c>
      <c r="F182" s="3" t="str">
        <f>_xlfn.XLOOKUP(C182,[1]Herbarium_tissue_collected!$B:$B,[1]Herbarium_tissue_collected!$F:$F)</f>
        <v>3 axiallary buds</v>
      </c>
      <c r="G182" s="3" t="str">
        <f>_xlfn.XLOOKUP(C182,[1]Herbarium_tissue_collected!$B:$B,[1]Herbarium_tissue_collected!$G:$G)</f>
        <v>yes, cauline</v>
      </c>
      <c r="H182" t="s">
        <v>29</v>
      </c>
      <c r="I182" t="s">
        <v>284</v>
      </c>
      <c r="N182">
        <f>_xlfn.XLOOKUP(C182,[1]Herbarium_tissue_collected!$B:$B,[1]Herbarium_tissue_collected!$E:$E)</f>
        <v>2003</v>
      </c>
    </row>
    <row r="183" spans="1:14" x14ac:dyDescent="0.2">
      <c r="A183" t="s">
        <v>28</v>
      </c>
      <c r="B183" t="s">
        <v>24</v>
      </c>
      <c r="C183">
        <v>2124078</v>
      </c>
      <c r="D183" s="3" t="str">
        <f>_xlfn.XLOOKUP(C183,[1]Herbarium_tissue_collected!$B:$B,[1]Herbarium_tissue_collected!$D:$D)</f>
        <v>CHSC096467</v>
      </c>
      <c r="E183" s="3" t="s">
        <v>218</v>
      </c>
      <c r="F183" s="3" t="str">
        <f>_xlfn.XLOOKUP(C183,[1]Herbarium_tissue_collected!$B:$B,[1]Herbarium_tissue_collected!$F:$F)</f>
        <v>3 axillary bud, 1 little leaf</v>
      </c>
      <c r="G183" s="3" t="str">
        <f>_xlfn.XLOOKUP(C183,[1]Herbarium_tissue_collected!$B:$B,[1]Herbarium_tissue_collected!$G:$G)</f>
        <v>yes, basal</v>
      </c>
      <c r="H183" t="s">
        <v>29</v>
      </c>
      <c r="I183" t="s">
        <v>284</v>
      </c>
      <c r="N183">
        <f>_xlfn.XLOOKUP(C183,[1]Herbarium_tissue_collected!$B:$B,[1]Herbarium_tissue_collected!$E:$E)</f>
        <v>2007</v>
      </c>
    </row>
    <row r="184" spans="1:14" x14ac:dyDescent="0.2">
      <c r="A184" t="s">
        <v>28</v>
      </c>
      <c r="B184" t="s">
        <v>24</v>
      </c>
      <c r="C184">
        <v>1336458</v>
      </c>
      <c r="D184" s="3" t="str">
        <f>_xlfn.XLOOKUP(C184,[1]Herbarium_tissue_collected!$B:$B,[1]Herbarium_tissue_collected!$D:$D)</f>
        <v>DAV310437</v>
      </c>
      <c r="E184" s="3" t="s">
        <v>219</v>
      </c>
      <c r="F184" s="3" t="str">
        <f>_xlfn.XLOOKUP(C184,[1]Herbarium_tissue_collected!$B:$B,[1]Herbarium_tissue_collected!$F:$F)</f>
        <v>2 axiallary buds, 1 terminal bud cluster, 1 lil leaf</v>
      </c>
      <c r="G184" s="3" t="str">
        <f>_xlfn.XLOOKUP(C184,[1]Herbarium_tissue_collected!$B:$B,[1]Herbarium_tissue_collected!$G:$G)</f>
        <v>yes, cauline with basal morphology</v>
      </c>
      <c r="H184" t="s">
        <v>29</v>
      </c>
      <c r="I184" t="s">
        <v>284</v>
      </c>
      <c r="N184">
        <f>_xlfn.XLOOKUP(C184,[1]Herbarium_tissue_collected!$B:$B,[1]Herbarium_tissue_collected!$E:$E)</f>
        <v>2009</v>
      </c>
    </row>
    <row r="185" spans="1:14" x14ac:dyDescent="0.2">
      <c r="A185" t="s">
        <v>28</v>
      </c>
      <c r="B185" t="s">
        <v>24</v>
      </c>
      <c r="C185">
        <v>1652583</v>
      </c>
      <c r="D185" s="3" t="str">
        <f>_xlfn.XLOOKUP(C185,[1]Herbarium_tissue_collected!$B:$B,[1]Herbarium_tissue_collected!$D:$D)</f>
        <v>UCR0083380</v>
      </c>
      <c r="E185" s="3" t="s">
        <v>220</v>
      </c>
      <c r="F185" s="3" t="str">
        <f>_xlfn.XLOOKUP(C185,[1]Herbarium_tissue_collected!$B:$B,[1]Herbarium_tissue_collected!$F:$F)</f>
        <v>5 axillary buds</v>
      </c>
      <c r="G185" s="3" t="str">
        <f>_xlfn.XLOOKUP(C185,[1]Herbarium_tissue_collected!$B:$B,[1]Herbarium_tissue_collected!$G:$G)</f>
        <v>yes, cauline with basal morphology</v>
      </c>
      <c r="H185" t="s">
        <v>29</v>
      </c>
      <c r="I185" t="s">
        <v>284</v>
      </c>
      <c r="N185">
        <f>_xlfn.XLOOKUP(C185,[1]Herbarium_tissue_collected!$B:$B,[1]Herbarium_tissue_collected!$E:$E)</f>
        <v>2011</v>
      </c>
    </row>
    <row r="186" spans="1:14" x14ac:dyDescent="0.2">
      <c r="A186" t="s">
        <v>28</v>
      </c>
      <c r="B186" t="s">
        <v>25</v>
      </c>
      <c r="C186">
        <v>1667960</v>
      </c>
      <c r="D186" s="3" t="str">
        <f>_xlfn.XLOOKUP(C186,[1]Herbarium_tissue_collected!$B:$B,[1]Herbarium_tissue_collected!$D:$D)</f>
        <v>UCR0083377</v>
      </c>
      <c r="E186" s="3" t="s">
        <v>221</v>
      </c>
      <c r="F186" s="3" t="str">
        <f>_xlfn.XLOOKUP(C186,[1]Herbarium_tissue_collected!$B:$B,[1]Herbarium_tissue_collected!$F:$F)</f>
        <v>4 axiallary buds, 1 lil leaf</v>
      </c>
      <c r="G186" s="3" t="str">
        <f>_xlfn.XLOOKUP(C186,[1]Herbarium_tissue_collected!$B:$B,[1]Herbarium_tissue_collected!$G:$G)</f>
        <v>yes, cauline with basal morphology</v>
      </c>
      <c r="H186" t="s">
        <v>29</v>
      </c>
      <c r="I186" t="s">
        <v>287</v>
      </c>
      <c r="N186">
        <f>_xlfn.XLOOKUP(C186,[1]Herbarium_tissue_collected!$B:$B,[1]Herbarium_tissue_collected!$E:$E)</f>
        <v>2013</v>
      </c>
    </row>
    <row r="187" spans="1:14" x14ac:dyDescent="0.2">
      <c r="A187" t="s">
        <v>28</v>
      </c>
      <c r="B187" t="s">
        <v>25</v>
      </c>
      <c r="C187">
        <v>1671160</v>
      </c>
      <c r="D187" s="3" t="str">
        <f>_xlfn.XLOOKUP(C187,[1]Herbarium_tissue_collected!$B:$B,[1]Herbarium_tissue_collected!$D:$D)</f>
        <v>UCR0083398</v>
      </c>
      <c r="E187" s="3" t="s">
        <v>222</v>
      </c>
      <c r="F187" s="3" t="str">
        <f>_xlfn.XLOOKUP(C187,[1]Herbarium_tissue_collected!$B:$B,[1]Herbarium_tissue_collected!$F:$F)</f>
        <v>1 large terminal bud cluster, 2 axially bud, lil leaves</v>
      </c>
      <c r="G187" s="3" t="str">
        <f>_xlfn.XLOOKUP(C187,[1]Herbarium_tissue_collected!$B:$B,[1]Herbarium_tissue_collected!$G:$G)</f>
        <v>yes, cauline with basal morphology</v>
      </c>
      <c r="H187" t="s">
        <v>29</v>
      </c>
      <c r="I187" t="s">
        <v>284</v>
      </c>
      <c r="K187" t="s">
        <v>294</v>
      </c>
      <c r="N187">
        <f>_xlfn.XLOOKUP(C187,[1]Herbarium_tissue_collected!$B:$B,[1]Herbarium_tissue_collected!$E:$E)</f>
        <v>2014</v>
      </c>
    </row>
    <row r="188" spans="1:14" x14ac:dyDescent="0.2">
      <c r="A188" t="s">
        <v>28</v>
      </c>
      <c r="B188" t="s">
        <v>25</v>
      </c>
      <c r="C188">
        <v>2963303</v>
      </c>
      <c r="D188" s="3" t="str">
        <f>_xlfn.XLOOKUP(C188,[1]Herbarium_tissue_collected!$B:$B,[1]Herbarium_tissue_collected!$D:$D)</f>
        <v>DAV325632</v>
      </c>
      <c r="E188" s="3" t="s">
        <v>223</v>
      </c>
      <c r="F188" s="3" t="str">
        <f>_xlfn.XLOOKUP(C188,[1]Herbarium_tissue_collected!$B:$B,[1]Herbarium_tissue_collected!$F:$F)</f>
        <v>2 axiallary bud</v>
      </c>
      <c r="G188" s="3" t="str">
        <f>_xlfn.XLOOKUP(C188,[1]Herbarium_tissue_collected!$B:$B,[1]Herbarium_tissue_collected!$G:$G)</f>
        <v>yes, cauline with basal morphology</v>
      </c>
      <c r="H188" t="s">
        <v>29</v>
      </c>
      <c r="N188">
        <f>_xlfn.XLOOKUP(C188,[1]Herbarium_tissue_collected!$B:$B,[1]Herbarium_tissue_collected!$E:$E)</f>
        <v>2019</v>
      </c>
    </row>
    <row r="189" spans="1:14" x14ac:dyDescent="0.2">
      <c r="A189" t="s">
        <v>28</v>
      </c>
      <c r="B189" t="s">
        <v>26</v>
      </c>
      <c r="C189">
        <v>6053255</v>
      </c>
      <c r="D189" s="3" t="str">
        <f>_xlfn.XLOOKUP(C189,[1]Herbarium_tissue_collected!$B:$B,[1]Herbarium_tissue_collected!$D:$D)</f>
        <v>DAV245704</v>
      </c>
      <c r="E189" s="3" t="s">
        <v>224</v>
      </c>
      <c r="F189" s="3" t="str">
        <f>_xlfn.XLOOKUP(C189,[1]Herbarium_tissue_collected!$B:$B,[1]Herbarium_tissue_collected!$F:$F)</f>
        <v>2 terminal bud cluster</v>
      </c>
      <c r="G189" s="3" t="str">
        <f>_xlfn.XLOOKUP(C189,[1]Herbarium_tissue_collected!$B:$B,[1]Herbarium_tissue_collected!$G:$G)</f>
        <v>yes, basal</v>
      </c>
      <c r="H189" t="s">
        <v>29</v>
      </c>
      <c r="I189" t="s">
        <v>284</v>
      </c>
      <c r="K189" t="s">
        <v>294</v>
      </c>
      <c r="N189">
        <f>_xlfn.XLOOKUP(C189,[1]Herbarium_tissue_collected!$B:$B,[1]Herbarium_tissue_collected!$E:$E)</f>
        <v>2024</v>
      </c>
    </row>
    <row r="190" spans="1:14" x14ac:dyDescent="0.2">
      <c r="A190" t="s">
        <v>28</v>
      </c>
      <c r="B190" t="s">
        <v>26</v>
      </c>
      <c r="C190">
        <v>6003808</v>
      </c>
      <c r="D190" s="3" t="str">
        <f>_xlfn.XLOOKUP(C190,[1]Herbarium_tissue_collected!$B:$B,[1]Herbarium_tissue_collected!$D:$D)</f>
        <v>DAV244422</v>
      </c>
      <c r="E190" s="3" t="s">
        <v>225</v>
      </c>
      <c r="F190" s="3" t="str">
        <f>_xlfn.XLOOKUP(C190,[1]Herbarium_tissue_collected!$B:$B,[1]Herbarium_tissue_collected!$F:$F)</f>
        <v>3 axiallary bud</v>
      </c>
      <c r="G190" s="3" t="str">
        <f>_xlfn.XLOOKUP(C190,[1]Herbarium_tissue_collected!$B:$B,[1]Herbarium_tissue_collected!$G:$G)</f>
        <v>yes, basal</v>
      </c>
      <c r="H190" t="s">
        <v>29</v>
      </c>
      <c r="N190">
        <f>_xlfn.XLOOKUP(C190,[1]Herbarium_tissue_collected!$B:$B,[1]Herbarium_tissue_collected!$E:$E)</f>
        <v>2024</v>
      </c>
    </row>
    <row r="191" spans="1:14" x14ac:dyDescent="0.2">
      <c r="A191" t="s">
        <v>27</v>
      </c>
      <c r="B191" t="s">
        <v>5</v>
      </c>
      <c r="D191" s="3">
        <f>_xlfn.XLOOKUP(C191,[1]Herbarium_tissue_collected!$B:$B,[1]Herbarium_tissue_collected!$D:$D)</f>
        <v>0</v>
      </c>
      <c r="E191" s="3">
        <v>0</v>
      </c>
      <c r="F191" s="3">
        <f>_xlfn.XLOOKUP(C191,[1]Herbarium_tissue_collected!$B:$B,[1]Herbarium_tissue_collected!$F:$F)</f>
        <v>0</v>
      </c>
      <c r="G191" s="3">
        <f>_xlfn.XLOOKUP(C191,[1]Herbarium_tissue_collected!$B:$B,[1]Herbarium_tissue_collected!$G:$G)</f>
        <v>0</v>
      </c>
      <c r="N191">
        <f>_xlfn.XLOOKUP(C191,[1]Herbarium_tissue_collected!$B:$B,[1]Herbarium_tissue_collected!$E:$E)</f>
        <v>0</v>
      </c>
    </row>
    <row r="192" spans="1:14" x14ac:dyDescent="0.2">
      <c r="A192" t="s">
        <v>27</v>
      </c>
      <c r="B192" t="s">
        <v>5</v>
      </c>
      <c r="C192" t="s">
        <v>30</v>
      </c>
      <c r="D192" s="3">
        <f>_xlfn.XLOOKUP(C192,[1]Herbarium_tissue_collected!$B:$B,[1]Herbarium_tissue_collected!$D:$D)</f>
        <v>74174</v>
      </c>
      <c r="E192" s="3">
        <v>74174</v>
      </c>
      <c r="F192" s="3" t="str">
        <f>_xlfn.XLOOKUP(C192,[1]Herbarium_tissue_collected!$B:$B,[1]Herbarium_tissue_collected!$F:$F)</f>
        <v>1 terminal bud cluster, a few loose buds</v>
      </c>
      <c r="G192" s="3" t="str">
        <f>_xlfn.XLOOKUP(C192,[1]Herbarium_tissue_collected!$B:$B,[1]Herbarium_tissue_collected!$G:$G)</f>
        <v>no</v>
      </c>
      <c r="H192" t="s">
        <v>29</v>
      </c>
      <c r="N192">
        <f>_xlfn.XLOOKUP(C192,[1]Herbarium_tissue_collected!$B:$B,[1]Herbarium_tissue_collected!$E:$E)</f>
        <v>1893</v>
      </c>
    </row>
    <row r="193" spans="1:19" x14ac:dyDescent="0.2">
      <c r="A193" t="s">
        <v>27</v>
      </c>
      <c r="B193" t="s">
        <v>6</v>
      </c>
      <c r="C193">
        <v>3366602</v>
      </c>
      <c r="D193" s="3" t="str">
        <f>_xlfn.XLOOKUP(C193,[1]Herbarium_tissue_collected!$B:$B,[1]Herbarium_tissue_collected!$D:$D)</f>
        <v>UC10776</v>
      </c>
      <c r="E193" s="3" t="s">
        <v>226</v>
      </c>
      <c r="F193" s="3" t="str">
        <f>_xlfn.XLOOKUP(C193,[1]Herbarium_tissue_collected!$B:$B,[1]Herbarium_tissue_collected!$F:$F)</f>
        <v>2 terminal bud clusters</v>
      </c>
      <c r="G193" s="3" t="str">
        <f>_xlfn.XLOOKUP(C193,[1]Herbarium_tissue_collected!$B:$B,[1]Herbarium_tissue_collected!$G:$G)</f>
        <v>yes, basal</v>
      </c>
      <c r="H193" t="s">
        <v>29</v>
      </c>
      <c r="N193">
        <f>_xlfn.XLOOKUP(C193,[1]Herbarium_tissue_collected!$B:$B,[1]Herbarium_tissue_collected!$E:$E)</f>
        <v>1893</v>
      </c>
    </row>
    <row r="194" spans="1:19" x14ac:dyDescent="0.2">
      <c r="A194" t="s">
        <v>27</v>
      </c>
      <c r="B194" t="s">
        <v>6</v>
      </c>
      <c r="C194">
        <v>2283873</v>
      </c>
      <c r="D194" s="3">
        <f>_xlfn.XLOOKUP(C194,[1]Herbarium_tissue_collected!$B:$B,[1]Herbarium_tissue_collected!$D:$D)</f>
        <v>74352</v>
      </c>
      <c r="E194" s="3">
        <v>74352</v>
      </c>
      <c r="F194" s="3" t="str">
        <f>_xlfn.XLOOKUP(C194,[1]Herbarium_tissue_collected!$B:$B,[1]Herbarium_tissue_collected!$F:$F)</f>
        <v>3 axillary buds, 1 terminal bud cluster, 1 little leaf</v>
      </c>
      <c r="G194" s="3" t="str">
        <f>_xlfn.XLOOKUP(C194,[1]Herbarium_tissue_collected!$B:$B,[1]Herbarium_tissue_collected!$G:$G)</f>
        <v>yes, basal</v>
      </c>
      <c r="H194" t="s">
        <v>29</v>
      </c>
      <c r="N194">
        <f>_xlfn.XLOOKUP(C194,[1]Herbarium_tissue_collected!$B:$B,[1]Herbarium_tissue_collected!$E:$E)</f>
        <v>1895</v>
      </c>
    </row>
    <row r="195" spans="1:19" x14ac:dyDescent="0.2">
      <c r="A195" t="s">
        <v>27</v>
      </c>
      <c r="B195" t="s">
        <v>6</v>
      </c>
      <c r="C195">
        <v>2286564</v>
      </c>
      <c r="D195" s="3">
        <f>_xlfn.XLOOKUP(C195,[1]Herbarium_tissue_collected!$B:$B,[1]Herbarium_tissue_collected!$D:$D)</f>
        <v>74343</v>
      </c>
      <c r="E195" s="3">
        <v>74343</v>
      </c>
      <c r="F195" s="3" t="str">
        <f>_xlfn.XLOOKUP(C195,[1]Herbarium_tissue_collected!$B:$B,[1]Herbarium_tissue_collected!$F:$F)</f>
        <v>5 axillary buds</v>
      </c>
      <c r="G195" s="3" t="str">
        <f>_xlfn.XLOOKUP(C195,[1]Herbarium_tissue_collected!$B:$B,[1]Herbarium_tissue_collected!$G:$G)</f>
        <v>yes, basal</v>
      </c>
      <c r="H195" t="s">
        <v>29</v>
      </c>
      <c r="N195">
        <f>_xlfn.XLOOKUP(C195,[1]Herbarium_tissue_collected!$B:$B,[1]Herbarium_tissue_collected!$E:$E)</f>
        <v>1897</v>
      </c>
    </row>
    <row r="196" spans="1:19" x14ac:dyDescent="0.2">
      <c r="A196" t="s">
        <v>27</v>
      </c>
      <c r="B196" t="s">
        <v>6</v>
      </c>
      <c r="D196" s="3">
        <f>_xlfn.XLOOKUP(C196,[1]Herbarium_tissue_collected!$B:$B,[1]Herbarium_tissue_collected!$D:$D)</f>
        <v>0</v>
      </c>
      <c r="E196" s="3">
        <v>0</v>
      </c>
      <c r="F196" s="3">
        <f>_xlfn.XLOOKUP(C196,[1]Herbarium_tissue_collected!$B:$B,[1]Herbarium_tissue_collected!$F:$F)</f>
        <v>0</v>
      </c>
      <c r="G196" s="3">
        <f>_xlfn.XLOOKUP(C196,[1]Herbarium_tissue_collected!$B:$B,[1]Herbarium_tissue_collected!$G:$G)</f>
        <v>0</v>
      </c>
      <c r="H196" t="s">
        <v>29</v>
      </c>
      <c r="M196" s="4">
        <v>74342</v>
      </c>
      <c r="N196">
        <f>_xlfn.XLOOKUP(C196,[1]Herbarium_tissue_collected!$B:$B,[1]Herbarium_tissue_collected!$E:$E)</f>
        <v>0</v>
      </c>
    </row>
    <row r="197" spans="1:19" x14ac:dyDescent="0.2">
      <c r="A197" t="s">
        <v>27</v>
      </c>
      <c r="B197" t="s">
        <v>6</v>
      </c>
      <c r="C197">
        <v>3511149</v>
      </c>
      <c r="D197" s="3" t="str">
        <f>_xlfn.XLOOKUP(C197,[1]Herbarium_tissue_collected!$B:$B,[1]Herbarium_tissue_collected!$D:$D)</f>
        <v>JEPS53812</v>
      </c>
      <c r="E197" s="3" t="s">
        <v>227</v>
      </c>
      <c r="F197" s="3" t="str">
        <f>_xlfn.XLOOKUP(C197,[1]Herbarium_tissue_collected!$B:$B,[1]Herbarium_tissue_collected!$F:$F)</f>
        <v>4 terminal bud clusters</v>
      </c>
      <c r="G197" s="3" t="str">
        <f>_xlfn.XLOOKUP(C197,[1]Herbarium_tissue_collected!$B:$B,[1]Herbarium_tissue_collected!$G:$G)</f>
        <v>yes, basal</v>
      </c>
      <c r="H197" t="s">
        <v>29</v>
      </c>
      <c r="N197">
        <f>_xlfn.XLOOKUP(C197,[1]Herbarium_tissue_collected!$B:$B,[1]Herbarium_tissue_collected!$E:$E)</f>
        <v>1897</v>
      </c>
    </row>
    <row r="198" spans="1:19" x14ac:dyDescent="0.2">
      <c r="A198" s="5" t="s">
        <v>27</v>
      </c>
      <c r="B198" s="5" t="s">
        <v>6</v>
      </c>
      <c r="C198" s="5">
        <v>3209072</v>
      </c>
      <c r="D198" s="3" t="str">
        <f>_xlfn.XLOOKUP(C198,[1]Herbarium_tissue_collected!$B:$B,[1]Herbarium_tissue_collected!$D:$D)</f>
        <v>UC1206452</v>
      </c>
      <c r="E198" s="3" t="s">
        <v>228</v>
      </c>
      <c r="F198" s="3" t="str">
        <f>_xlfn.XLOOKUP(C198,[1]Herbarium_tissue_collected!$B:$B,[1]Herbarium_tissue_collected!$F:$F)</f>
        <v>4 bud clusters, little leaf</v>
      </c>
      <c r="G198" s="3" t="str">
        <f>_xlfn.XLOOKUP(C198,[1]Herbarium_tissue_collected!$B:$B,[1]Herbarium_tissue_collected!$G:$G)</f>
        <v>yes, cauline with intermediate morphology</v>
      </c>
      <c r="H198" s="5" t="s">
        <v>29</v>
      </c>
      <c r="I198" s="5"/>
      <c r="J198" s="5"/>
      <c r="K198" s="5"/>
      <c r="L198" s="5"/>
      <c r="M198" s="5"/>
      <c r="N198">
        <f>_xlfn.XLOOKUP(C198,[1]Herbarium_tissue_collected!$B:$B,[1]Herbarium_tissue_collected!$E:$E)</f>
        <v>1897</v>
      </c>
    </row>
    <row r="199" spans="1:19" x14ac:dyDescent="0.2">
      <c r="A199" t="s">
        <v>27</v>
      </c>
      <c r="B199" t="s">
        <v>7</v>
      </c>
      <c r="C199">
        <v>2453178</v>
      </c>
      <c r="D199" s="3">
        <f>_xlfn.XLOOKUP(C199,[1]Herbarium_tissue_collected!$B:$B,[1]Herbarium_tissue_collected!$D:$D)</f>
        <v>74219</v>
      </c>
      <c r="E199" s="3">
        <v>74219</v>
      </c>
      <c r="F199" s="3" t="str">
        <f>_xlfn.XLOOKUP(C199,[1]Herbarium_tissue_collected!$B:$B,[1]Herbarium_tissue_collected!$F:$F)</f>
        <v>1 axiallary bud cluster, 1 apical bud cluster, mature leaf tissue</v>
      </c>
      <c r="G199" s="3" t="str">
        <f>_xlfn.XLOOKUP(C199,[1]Herbarium_tissue_collected!$B:$B,[1]Herbarium_tissue_collected!$G:$G)</f>
        <v>yes, cauline with intermediate morphology</v>
      </c>
      <c r="H199" t="s">
        <v>29</v>
      </c>
      <c r="I199" s="3" t="s">
        <v>284</v>
      </c>
      <c r="N199">
        <f>_xlfn.XLOOKUP(C199,[1]Herbarium_tissue_collected!$B:$B,[1]Herbarium_tissue_collected!$E:$E)</f>
        <v>1900</v>
      </c>
      <c r="S199" t="s">
        <v>34</v>
      </c>
    </row>
    <row r="200" spans="1:19" s="6" customFormat="1" x14ac:dyDescent="0.2">
      <c r="A200" s="6" t="s">
        <v>27</v>
      </c>
      <c r="B200" s="6" t="s">
        <v>7</v>
      </c>
      <c r="C200" s="6">
        <v>3452051</v>
      </c>
      <c r="D200" s="7" t="str">
        <f>_xlfn.XLOOKUP(C200,[1]Herbarium_tissue_collected!$B:$B,[1]Herbarium_tissue_collected!$D:$D)</f>
        <v>UC10775</v>
      </c>
      <c r="E200" s="7" t="s">
        <v>229</v>
      </c>
      <c r="F200" s="7" t="str">
        <f>_xlfn.XLOOKUP(C200,[1]Herbarium_tissue_collected!$B:$B,[1]Herbarium_tissue_collected!$F:$F)</f>
        <v>1 axiallary bud cluster, 1 apical bud cluster</v>
      </c>
      <c r="G200" s="7" t="str">
        <f>_xlfn.XLOOKUP(C200,[1]Herbarium_tissue_collected!$B:$B,[1]Herbarium_tissue_collected!$G:$G)</f>
        <v>yes, cauline, intermediate morphology</v>
      </c>
      <c r="H200" s="6" t="s">
        <v>29</v>
      </c>
      <c r="N200" s="6">
        <f>_xlfn.XLOOKUP(C200,[1]Herbarium_tissue_collected!$B:$B,[1]Herbarium_tissue_collected!$E:$E)</f>
        <v>1900</v>
      </c>
    </row>
    <row r="201" spans="1:19" x14ac:dyDescent="0.2">
      <c r="A201" t="s">
        <v>27</v>
      </c>
      <c r="B201" t="s">
        <v>7</v>
      </c>
      <c r="C201">
        <v>2271679</v>
      </c>
      <c r="D201" s="3">
        <f>_xlfn.XLOOKUP(C201,[1]Herbarium_tissue_collected!$B:$B,[1]Herbarium_tissue_collected!$D:$D)</f>
        <v>74261</v>
      </c>
      <c r="E201" s="3">
        <v>74261</v>
      </c>
      <c r="F201" s="3" t="str">
        <f>_xlfn.XLOOKUP(C201,[1]Herbarium_tissue_collected!$B:$B,[1]Herbarium_tissue_collected!$F:$F)</f>
        <v>2 axillary buds, 1 large bud terminal cluster</v>
      </c>
      <c r="G201" s="3" t="str">
        <f>_xlfn.XLOOKUP(C201,[1]Herbarium_tissue_collected!$B:$B,[1]Herbarium_tissue_collected!$G:$G)</f>
        <v>yes, basal</v>
      </c>
      <c r="H201" t="s">
        <v>29</v>
      </c>
      <c r="I201" t="s">
        <v>287</v>
      </c>
      <c r="M201" s="4"/>
      <c r="N201">
        <f>_xlfn.XLOOKUP(C201,[1]Herbarium_tissue_collected!$B:$B,[1]Herbarium_tissue_collected!$E:$E)</f>
        <v>1902</v>
      </c>
    </row>
    <row r="202" spans="1:19" x14ac:dyDescent="0.2">
      <c r="A202" t="s">
        <v>27</v>
      </c>
      <c r="B202" t="s">
        <v>7</v>
      </c>
      <c r="C202">
        <v>3257939</v>
      </c>
      <c r="D202" s="3" t="str">
        <f>_xlfn.XLOOKUP(C202,[1]Herbarium_tissue_collected!$B:$B,[1]Herbarium_tissue_collected!$D:$D)</f>
        <v>UC127885</v>
      </c>
      <c r="E202" s="3" t="s">
        <v>230</v>
      </c>
      <c r="F202" s="3" t="str">
        <f>_xlfn.XLOOKUP(C202,[1]Herbarium_tissue_collected!$B:$B,[1]Herbarium_tissue_collected!$F:$F)</f>
        <v>2 axiallary buds, 1 bud cluster</v>
      </c>
      <c r="G202" s="3" t="str">
        <f>_xlfn.XLOOKUP(C202,[1]Herbarium_tissue_collected!$B:$B,[1]Herbarium_tissue_collected!$G:$G)</f>
        <v>yes, cauline with basal morphology</v>
      </c>
      <c r="H202" s="3" t="s">
        <v>29</v>
      </c>
      <c r="N202">
        <f>_xlfn.XLOOKUP(C202,[1]Herbarium_tissue_collected!$B:$B,[1]Herbarium_tissue_collected!$E:$E)</f>
        <v>1906</v>
      </c>
    </row>
    <row r="203" spans="1:19" x14ac:dyDescent="0.2">
      <c r="A203" t="s">
        <v>27</v>
      </c>
      <c r="B203" t="s">
        <v>7</v>
      </c>
      <c r="C203">
        <v>4830361</v>
      </c>
      <c r="D203" s="3" t="str">
        <f>_xlfn.XLOOKUP(C203,[1]Herbarium_tissue_collected!$B:$B,[1]Herbarium_tissue_collected!$D:$D)</f>
        <v>US 874348</v>
      </c>
      <c r="E203" s="3" t="s">
        <v>231</v>
      </c>
      <c r="F203" s="3">
        <f>_xlfn.XLOOKUP(C203,[1]Herbarium_tissue_collected!$B:$B,[1]Herbarium_tissue_collected!$F:$F)</f>
        <v>0</v>
      </c>
      <c r="G203" s="3">
        <f>_xlfn.XLOOKUP(C203,[1]Herbarium_tissue_collected!$B:$B,[1]Herbarium_tissue_collected!$G:$G)</f>
        <v>0</v>
      </c>
      <c r="H203" s="3" t="s">
        <v>29</v>
      </c>
      <c r="N203">
        <f>_xlfn.XLOOKUP(C203,[1]Herbarium_tissue_collected!$B:$B,[1]Herbarium_tissue_collected!$E:$E)</f>
        <v>1906</v>
      </c>
    </row>
    <row r="204" spans="1:19" x14ac:dyDescent="0.2">
      <c r="A204" t="s">
        <v>27</v>
      </c>
      <c r="B204" t="s">
        <v>7</v>
      </c>
      <c r="C204">
        <v>2300919</v>
      </c>
      <c r="D204" s="3">
        <f>_xlfn.XLOOKUP(C204,[1]Herbarium_tissue_collected!$B:$B,[1]Herbarium_tissue_collected!$D:$D)</f>
        <v>74309</v>
      </c>
      <c r="E204" s="3">
        <v>74309</v>
      </c>
      <c r="F204" s="3" t="str">
        <f>_xlfn.XLOOKUP(C204,[1]Herbarium_tissue_collected!$B:$B,[1]Herbarium_tissue_collected!$F:$F)</f>
        <v>2 axillary bud, 1 terminal bud, 1 little leaf</v>
      </c>
      <c r="G204" s="3" t="str">
        <f>_xlfn.XLOOKUP(C204,[1]Herbarium_tissue_collected!$B:$B,[1]Herbarium_tissue_collected!$G:$G)</f>
        <v xml:space="preserve">yes, cauline with cauline morphology </v>
      </c>
      <c r="H204" s="3" t="s">
        <v>29</v>
      </c>
      <c r="I204" s="3" t="s">
        <v>284</v>
      </c>
      <c r="N204">
        <f>_xlfn.XLOOKUP(C204,[1]Herbarium_tissue_collected!$B:$B,[1]Herbarium_tissue_collected!$E:$E)</f>
        <v>1907</v>
      </c>
      <c r="S204" t="s">
        <v>36</v>
      </c>
    </row>
    <row r="205" spans="1:19" s="6" customFormat="1" x14ac:dyDescent="0.2">
      <c r="A205" s="6" t="s">
        <v>27</v>
      </c>
      <c r="B205" s="6" t="s">
        <v>7</v>
      </c>
      <c r="C205" s="6">
        <v>2336172</v>
      </c>
      <c r="D205" s="7">
        <f>_xlfn.XLOOKUP(C205,[1]Herbarium_tissue_collected!$B:$B,[1]Herbarium_tissue_collected!$D:$D)</f>
        <v>74305</v>
      </c>
      <c r="E205" s="7">
        <v>74305</v>
      </c>
      <c r="F205" s="7" t="str">
        <f>_xlfn.XLOOKUP(C205,[1]Herbarium_tissue_collected!$B:$B,[1]Herbarium_tissue_collected!$F:$F)</f>
        <v>1 axillary bud, 2 terminal bud cluster, 1 little leaf</v>
      </c>
      <c r="G205" s="7" t="str">
        <f>_xlfn.XLOOKUP(C205,[1]Herbarium_tissue_collected!$B:$B,[1]Herbarium_tissue_collected!$G:$G)</f>
        <v>yes, cauline w/ intermediate morphology</v>
      </c>
      <c r="H205" s="3" t="s">
        <v>29</v>
      </c>
      <c r="I205" s="6" t="s">
        <v>284</v>
      </c>
      <c r="K205" s="6" t="s">
        <v>291</v>
      </c>
      <c r="N205" s="6">
        <f>_xlfn.XLOOKUP(C205,[1]Herbarium_tissue_collected!$B:$B,[1]Herbarium_tissue_collected!$E:$E)</f>
        <v>1907</v>
      </c>
    </row>
    <row r="206" spans="1:19" s="6" customFormat="1" x14ac:dyDescent="0.2">
      <c r="A206" s="6" t="s">
        <v>27</v>
      </c>
      <c r="B206" s="6" t="s">
        <v>7</v>
      </c>
      <c r="C206" s="6">
        <v>2316473</v>
      </c>
      <c r="D206" s="7">
        <f>_xlfn.XLOOKUP(C206,[1]Herbarium_tissue_collected!$B:$B,[1]Herbarium_tissue_collected!$D:$D)</f>
        <v>74304</v>
      </c>
      <c r="E206" s="7">
        <v>74304</v>
      </c>
      <c r="F206" s="7" t="str">
        <f>_xlfn.XLOOKUP(C206,[1]Herbarium_tissue_collected!$B:$B,[1]Herbarium_tissue_collected!$F:$F)</f>
        <v xml:space="preserve">1 mini axillary branch </v>
      </c>
      <c r="G206" s="7" t="str">
        <f>_xlfn.XLOOKUP(C206,[1]Herbarium_tissue_collected!$B:$B,[1]Herbarium_tissue_collected!$G:$G)</f>
        <v>no</v>
      </c>
      <c r="H206" s="3" t="s">
        <v>29</v>
      </c>
      <c r="N206" s="6">
        <f>_xlfn.XLOOKUP(C206,[1]Herbarium_tissue_collected!$B:$B,[1]Herbarium_tissue_collected!$E:$E)</f>
        <v>1907</v>
      </c>
    </row>
    <row r="207" spans="1:19" s="5" customFormat="1" x14ac:dyDescent="0.2">
      <c r="A207" s="5" t="s">
        <v>27</v>
      </c>
      <c r="B207" s="5" t="s">
        <v>7</v>
      </c>
      <c r="C207" s="5">
        <v>2340225</v>
      </c>
      <c r="D207" s="3">
        <f>_xlfn.XLOOKUP(C207,[1]Herbarium_tissue_collected!$B:$B,[1]Herbarium_tissue_collected!$D:$D)</f>
        <v>74344</v>
      </c>
      <c r="E207" s="3">
        <v>74344</v>
      </c>
      <c r="F207" s="3" t="str">
        <f>_xlfn.XLOOKUP(C207,[1]Herbarium_tissue_collected!$B:$B,[1]Herbarium_tissue_collected!$F:$F)</f>
        <v>4 axiallary buds</v>
      </c>
      <c r="G207" s="3" t="str">
        <f>_xlfn.XLOOKUP(C207,[1]Herbarium_tissue_collected!$B:$B,[1]Herbarium_tissue_collected!$G:$G)</f>
        <v>yes, basal</v>
      </c>
      <c r="H207" s="3" t="s">
        <v>29</v>
      </c>
      <c r="I207" s="3" t="s">
        <v>284</v>
      </c>
      <c r="N207">
        <f>_xlfn.XLOOKUP(C207,[1]Herbarium_tissue_collected!$B:$B,[1]Herbarium_tissue_collected!$E:$E)</f>
        <v>1907</v>
      </c>
      <c r="S207" s="5" t="s">
        <v>39</v>
      </c>
    </row>
    <row r="208" spans="1:19" s="6" customFormat="1" x14ac:dyDescent="0.2">
      <c r="A208" s="6" t="s">
        <v>27</v>
      </c>
      <c r="B208" s="6" t="s">
        <v>7</v>
      </c>
      <c r="C208" s="6">
        <v>2465901</v>
      </c>
      <c r="D208" s="7">
        <f>_xlfn.XLOOKUP(C208,[1]Herbarium_tissue_collected!$B:$B,[1]Herbarium_tissue_collected!$D:$D)</f>
        <v>74345</v>
      </c>
      <c r="E208" s="7">
        <v>74345</v>
      </c>
      <c r="F208" s="7" t="str">
        <f>_xlfn.XLOOKUP(C208,[1]Herbarium_tissue_collected!$B:$B,[1]Herbarium_tissue_collected!$F:$F)</f>
        <v>2 axillary bud</v>
      </c>
      <c r="G208" s="7" t="str">
        <f>_xlfn.XLOOKUP(C208,[1]Herbarium_tissue_collected!$B:$B,[1]Herbarium_tissue_collected!$G:$G)</f>
        <v>no</v>
      </c>
      <c r="H208" s="3" t="s">
        <v>29</v>
      </c>
      <c r="N208" s="6">
        <f>_xlfn.XLOOKUP(C208,[1]Herbarium_tissue_collected!$B:$B,[1]Herbarium_tissue_collected!$E:$E)</f>
        <v>1907</v>
      </c>
    </row>
    <row r="209" spans="1:19" s="6" customFormat="1" x14ac:dyDescent="0.2">
      <c r="A209" s="6" t="s">
        <v>27</v>
      </c>
      <c r="B209" s="6" t="s">
        <v>7</v>
      </c>
      <c r="C209" s="6">
        <v>2390205</v>
      </c>
      <c r="D209" s="7">
        <f>_xlfn.XLOOKUP(C209,[1]Herbarium_tissue_collected!$B:$B,[1]Herbarium_tissue_collected!$D:$D)</f>
        <v>74346</v>
      </c>
      <c r="E209" s="7">
        <v>74346</v>
      </c>
      <c r="F209" s="7" t="str">
        <f>_xlfn.XLOOKUP(C209,[1]Herbarium_tissue_collected!$B:$B,[1]Herbarium_tissue_collected!$F:$F)</f>
        <v>3 axillary buds, 1 terminal bud cluster</v>
      </c>
      <c r="G209" s="7" t="str">
        <f>_xlfn.XLOOKUP(C209,[1]Herbarium_tissue_collected!$B:$B,[1]Herbarium_tissue_collected!$G:$G)</f>
        <v xml:space="preserve">yes, cauline with cauline morphology </v>
      </c>
      <c r="H209" s="3" t="s">
        <v>29</v>
      </c>
      <c r="I209" s="6" t="s">
        <v>284</v>
      </c>
      <c r="K209" s="6" t="s">
        <v>295</v>
      </c>
      <c r="N209" s="6">
        <f>_xlfn.XLOOKUP(C209,[1]Herbarium_tissue_collected!$B:$B,[1]Herbarium_tissue_collected!$E:$E)</f>
        <v>1907</v>
      </c>
    </row>
    <row r="210" spans="1:19" x14ac:dyDescent="0.2">
      <c r="A210" t="s">
        <v>27</v>
      </c>
      <c r="B210" t="s">
        <v>8</v>
      </c>
      <c r="C210">
        <v>2294495</v>
      </c>
      <c r="D210" s="3">
        <f>_xlfn.XLOOKUP(C210,[1]Herbarium_tissue_collected!$B:$B,[1]Herbarium_tissue_collected!$D:$D)</f>
        <v>74302</v>
      </c>
      <c r="E210" s="3">
        <v>74302</v>
      </c>
      <c r="F210" s="3" t="str">
        <f>_xlfn.XLOOKUP(C210,[1]Herbarium_tissue_collected!$B:$B,[1]Herbarium_tissue_collected!$F:$F)</f>
        <v>4 axillary buds</v>
      </c>
      <c r="G210" s="3" t="str">
        <f>_xlfn.XLOOKUP(C210,[1]Herbarium_tissue_collected!$B:$B,[1]Herbarium_tissue_collected!$G:$G)</f>
        <v>yes, basal</v>
      </c>
      <c r="H210" s="3" t="s">
        <v>29</v>
      </c>
      <c r="I210" s="3" t="s">
        <v>284</v>
      </c>
      <c r="N210">
        <f>_xlfn.XLOOKUP(C210,[1]Herbarium_tissue_collected!$B:$B,[1]Herbarium_tissue_collected!$E:$E)</f>
        <v>1910</v>
      </c>
      <c r="S210" t="s">
        <v>38</v>
      </c>
    </row>
    <row r="211" spans="1:19" s="6" customFormat="1" x14ac:dyDescent="0.2">
      <c r="A211" s="6" t="s">
        <v>27</v>
      </c>
      <c r="B211" s="6" t="s">
        <v>8</v>
      </c>
      <c r="C211" s="6">
        <v>2328808</v>
      </c>
      <c r="D211" s="7">
        <f>_xlfn.XLOOKUP(C211,[1]Herbarium_tissue_collected!$B:$B,[1]Herbarium_tissue_collected!$D:$D)</f>
        <v>74301</v>
      </c>
      <c r="E211" s="7">
        <v>74301</v>
      </c>
      <c r="F211" s="7" t="str">
        <f>_xlfn.XLOOKUP(C211,[1]Herbarium_tissue_collected!$B:$B,[1]Herbarium_tissue_collected!$F:$F)</f>
        <v>3 axillary bud, 1 little leaf</v>
      </c>
      <c r="G211" s="7" t="str">
        <f>_xlfn.XLOOKUP(C211,[1]Herbarium_tissue_collected!$B:$B,[1]Herbarium_tissue_collected!$G:$G)</f>
        <v>yes, basal</v>
      </c>
      <c r="H211" s="3" t="s">
        <v>29</v>
      </c>
      <c r="I211" s="6" t="s">
        <v>284</v>
      </c>
      <c r="K211" s="6" t="s">
        <v>29</v>
      </c>
      <c r="N211" s="6">
        <f>_xlfn.XLOOKUP(C211,[1]Herbarium_tissue_collected!$B:$B,[1]Herbarium_tissue_collected!$E:$E)</f>
        <v>1910</v>
      </c>
    </row>
    <row r="212" spans="1:19" s="6" customFormat="1" x14ac:dyDescent="0.2">
      <c r="A212" s="6" t="s">
        <v>27</v>
      </c>
      <c r="B212" s="6" t="s">
        <v>8</v>
      </c>
      <c r="C212" s="6">
        <v>2286003</v>
      </c>
      <c r="D212" s="7">
        <f>_xlfn.XLOOKUP(C212,[1]Herbarium_tissue_collected!$B:$B,[1]Herbarium_tissue_collected!$D:$D)</f>
        <v>74303</v>
      </c>
      <c r="E212" s="7">
        <v>74303</v>
      </c>
      <c r="F212" s="7" t="str">
        <f>_xlfn.XLOOKUP(C212,[1]Herbarium_tissue_collected!$B:$B,[1]Herbarium_tissue_collected!$F:$F)</f>
        <v>1 terminal bud cluster, 2 axillary buds</v>
      </c>
      <c r="G212" s="7" t="str">
        <f>_xlfn.XLOOKUP(C212,[1]Herbarium_tissue_collected!$B:$B,[1]Herbarium_tissue_collected!$G:$G)</f>
        <v>no</v>
      </c>
      <c r="H212" s="3" t="s">
        <v>29</v>
      </c>
      <c r="N212" s="6">
        <f>_xlfn.XLOOKUP(C212,[1]Herbarium_tissue_collected!$B:$B,[1]Herbarium_tissue_collected!$E:$E)</f>
        <v>1910</v>
      </c>
    </row>
    <row r="213" spans="1:19" x14ac:dyDescent="0.2">
      <c r="A213" t="s">
        <v>27</v>
      </c>
      <c r="B213" t="s">
        <v>8</v>
      </c>
      <c r="C213">
        <v>2426166</v>
      </c>
      <c r="D213" s="3">
        <f>_xlfn.XLOOKUP(C213,[1]Herbarium_tissue_collected!$B:$B,[1]Herbarium_tissue_collected!$D:$D)</f>
        <v>74363</v>
      </c>
      <c r="E213" s="3">
        <v>74363</v>
      </c>
      <c r="F213" s="3" t="str">
        <f>_xlfn.XLOOKUP(C213,[1]Herbarium_tissue_collected!$B:$B,[1]Herbarium_tissue_collected!$F:$F)</f>
        <v>1 axillary bud, 1 terminal bud cluster, 1 little leaf</v>
      </c>
      <c r="G213" s="3" t="str">
        <f>_xlfn.XLOOKUP(C213,[1]Herbarium_tissue_collected!$B:$B,[1]Herbarium_tissue_collected!$G:$G)</f>
        <v>yes, basal</v>
      </c>
      <c r="H213" s="3" t="s">
        <v>29</v>
      </c>
      <c r="N213">
        <f>_xlfn.XLOOKUP(C213,[1]Herbarium_tissue_collected!$B:$B,[1]Herbarium_tissue_collected!$E:$E)</f>
        <v>1912</v>
      </c>
    </row>
    <row r="214" spans="1:19" x14ac:dyDescent="0.2">
      <c r="A214" t="s">
        <v>27</v>
      </c>
      <c r="B214" t="s">
        <v>8</v>
      </c>
      <c r="C214">
        <v>4892287</v>
      </c>
      <c r="D214" s="3" t="str">
        <f>_xlfn.XLOOKUP(C214,[1]Herbarium_tissue_collected!$B:$B,[1]Herbarium_tissue_collected!$D:$D)</f>
        <v>US 880131</v>
      </c>
      <c r="E214" s="3" t="s">
        <v>232</v>
      </c>
      <c r="F214" s="3">
        <f>_xlfn.XLOOKUP(C214,[1]Herbarium_tissue_collected!$B:$B,[1]Herbarium_tissue_collected!$F:$F)</f>
        <v>0</v>
      </c>
      <c r="G214" s="3">
        <f>_xlfn.XLOOKUP(C214,[1]Herbarium_tissue_collected!$B:$B,[1]Herbarium_tissue_collected!$G:$G)</f>
        <v>0</v>
      </c>
      <c r="H214" s="3" t="s">
        <v>29</v>
      </c>
      <c r="I214" t="s">
        <v>287</v>
      </c>
      <c r="N214">
        <f>_xlfn.XLOOKUP(C214,[1]Herbarium_tissue_collected!$B:$B,[1]Herbarium_tissue_collected!$E:$E)</f>
        <v>1913</v>
      </c>
    </row>
    <row r="215" spans="1:19" x14ac:dyDescent="0.2">
      <c r="A215" t="s">
        <v>27</v>
      </c>
      <c r="B215" t="s">
        <v>8</v>
      </c>
      <c r="C215">
        <v>5001849</v>
      </c>
      <c r="D215" s="3" t="str">
        <f>_xlfn.XLOOKUP(C215,[1]Herbarium_tissue_collected!$B:$B,[1]Herbarium_tissue_collected!$D:$D)</f>
        <v>US 765571</v>
      </c>
      <c r="E215" s="3" t="s">
        <v>233</v>
      </c>
      <c r="F215" s="3">
        <f>_xlfn.XLOOKUP(C215,[1]Herbarium_tissue_collected!$B:$B,[1]Herbarium_tissue_collected!$F:$F)</f>
        <v>0</v>
      </c>
      <c r="G215" s="3">
        <f>_xlfn.XLOOKUP(C215,[1]Herbarium_tissue_collected!$B:$B,[1]Herbarium_tissue_collected!$G:$G)</f>
        <v>0</v>
      </c>
      <c r="H215" s="3" t="s">
        <v>29</v>
      </c>
      <c r="I215" t="s">
        <v>287</v>
      </c>
      <c r="N215">
        <f>_xlfn.XLOOKUP(C215,[1]Herbarium_tissue_collected!$B:$B,[1]Herbarium_tissue_collected!$E:$E)</f>
        <v>1913</v>
      </c>
    </row>
    <row r="216" spans="1:19" x14ac:dyDescent="0.2">
      <c r="A216" t="s">
        <v>27</v>
      </c>
      <c r="B216" t="s">
        <v>8</v>
      </c>
      <c r="C216">
        <v>1368029</v>
      </c>
      <c r="D216" s="3" t="str">
        <f>_xlfn.XLOOKUP(C216,[1]Herbarium_tissue_collected!$B:$B,[1]Herbarium_tissue_collected!$D:$D)</f>
        <v>DAV310407</v>
      </c>
      <c r="E216" s="3" t="s">
        <v>234</v>
      </c>
      <c r="F216" s="3" t="str">
        <f>_xlfn.XLOOKUP(C216,[1]Herbarium_tissue_collected!$B:$B,[1]Herbarium_tissue_collected!$F:$F)</f>
        <v>3 axiallary buds, 2 terminal bud clusters</v>
      </c>
      <c r="G216" s="3" t="str">
        <f>_xlfn.XLOOKUP(C216,[1]Herbarium_tissue_collected!$B:$B,[1]Herbarium_tissue_collected!$G:$G)</f>
        <v>yes, cauline w/ intermediate morphology</v>
      </c>
      <c r="H216" s="3" t="s">
        <v>29</v>
      </c>
      <c r="I216" t="s">
        <v>287</v>
      </c>
      <c r="N216">
        <f>_xlfn.XLOOKUP(C216,[1]Herbarium_tissue_collected!$B:$B,[1]Herbarium_tissue_collected!$E:$E)</f>
        <v>1914</v>
      </c>
      <c r="S216" t="s">
        <v>40</v>
      </c>
    </row>
    <row r="217" spans="1:19" x14ac:dyDescent="0.2">
      <c r="A217" t="s">
        <v>27</v>
      </c>
      <c r="B217" t="s">
        <v>8</v>
      </c>
      <c r="C217">
        <v>1368028</v>
      </c>
      <c r="D217" s="3" t="str">
        <f>_xlfn.XLOOKUP(C217,[1]Herbarium_tissue_collected!$B:$B,[1]Herbarium_tissue_collected!$D:$D)</f>
        <v>DAV310408</v>
      </c>
      <c r="E217" s="3" t="s">
        <v>235</v>
      </c>
      <c r="F217" s="3" t="str">
        <f>_xlfn.XLOOKUP(C217,[1]Herbarium_tissue_collected!$B:$B,[1]Herbarium_tissue_collected!$F:$F)</f>
        <v>3 large axillary bud cluster, 1 lil leaf</v>
      </c>
      <c r="G217" s="3" t="str">
        <f>_xlfn.XLOOKUP(C217,[1]Herbarium_tissue_collected!$B:$B,[1]Herbarium_tissue_collected!$G:$G)</f>
        <v>yes, basal</v>
      </c>
      <c r="H217" s="3" t="s">
        <v>29</v>
      </c>
      <c r="N217">
        <f>_xlfn.XLOOKUP(C217,[1]Herbarium_tissue_collected!$B:$B,[1]Herbarium_tissue_collected!$E:$E)</f>
        <v>1914</v>
      </c>
    </row>
    <row r="218" spans="1:19" x14ac:dyDescent="0.2">
      <c r="A218" t="s">
        <v>27</v>
      </c>
      <c r="B218" t="s">
        <v>8</v>
      </c>
      <c r="C218" s="3">
        <v>2457381</v>
      </c>
      <c r="D218" s="3">
        <f>_xlfn.XLOOKUP(C218,[1]Herbarium_tissue_collected!$B:$B,[1]Herbarium_tissue_collected!$D:$D)</f>
        <v>74311</v>
      </c>
      <c r="E218" s="3">
        <v>74311</v>
      </c>
      <c r="F218" s="3" t="str">
        <f>_xlfn.XLOOKUP(C218,[1]Herbarium_tissue_collected!$B:$B,[1]Herbarium_tissue_collected!$F:$F)</f>
        <v>3 axillary buds</v>
      </c>
      <c r="G218" s="3" t="str">
        <f>_xlfn.XLOOKUP(C218,[1]Herbarium_tissue_collected!$B:$B,[1]Herbarium_tissue_collected!$G:$G)</f>
        <v xml:space="preserve">yes, cauline with cauline morphology </v>
      </c>
      <c r="H218" s="3" t="s">
        <v>29</v>
      </c>
      <c r="N218">
        <f>_xlfn.XLOOKUP(C218,[1]Herbarium_tissue_collected!$B:$B,[1]Herbarium_tissue_collected!$E:$E)</f>
        <v>1914</v>
      </c>
      <c r="S218" t="s">
        <v>42</v>
      </c>
    </row>
    <row r="219" spans="1:19" x14ac:dyDescent="0.2">
      <c r="A219" t="s">
        <v>27</v>
      </c>
      <c r="B219" t="s">
        <v>8</v>
      </c>
      <c r="C219">
        <v>1367990</v>
      </c>
      <c r="D219" s="3" t="str">
        <f>_xlfn.XLOOKUP(C219,[1]Herbarium_tissue_collected!$B:$B,[1]Herbarium_tissue_collected!$D:$D)</f>
        <v>DAV300673</v>
      </c>
      <c r="E219" s="3" t="s">
        <v>236</v>
      </c>
      <c r="F219" s="3" t="str">
        <f>_xlfn.XLOOKUP(C219,[1]Herbarium_tissue_collected!$B:$B,[1]Herbarium_tissue_collected!$F:$F)</f>
        <v>5 axillary buds, little lf</v>
      </c>
      <c r="G219" s="3" t="str">
        <f>_xlfn.XLOOKUP(C219,[1]Herbarium_tissue_collected!$B:$B,[1]Herbarium_tissue_collected!$G:$G)</f>
        <v>yes, cauline w/ intermediate morphology</v>
      </c>
      <c r="H219" s="3" t="s">
        <v>29</v>
      </c>
      <c r="N219">
        <f>_xlfn.XLOOKUP(C219,[1]Herbarium_tissue_collected!$B:$B,[1]Herbarium_tissue_collected!$E:$E)</f>
        <v>1917</v>
      </c>
      <c r="S219" t="s">
        <v>62</v>
      </c>
    </row>
    <row r="220" spans="1:19" x14ac:dyDescent="0.2">
      <c r="A220" t="s">
        <v>27</v>
      </c>
      <c r="B220" t="s">
        <v>8</v>
      </c>
      <c r="C220">
        <v>1367992</v>
      </c>
      <c r="D220" s="3" t="str">
        <f>_xlfn.XLOOKUP(C220,[1]Herbarium_tissue_collected!$B:$B,[1]Herbarium_tissue_collected!$D:$D)</f>
        <v>DAV310430</v>
      </c>
      <c r="E220" s="3" t="s">
        <v>237</v>
      </c>
      <c r="F220" s="3" t="str">
        <f>_xlfn.XLOOKUP(C220,[1]Herbarium_tissue_collected!$B:$B,[1]Herbarium_tissue_collected!$F:$F)</f>
        <v>4 axiallary buds, 1 terminal bud cluster</v>
      </c>
      <c r="G220" s="3" t="str">
        <f>_xlfn.XLOOKUP(C220,[1]Herbarium_tissue_collected!$B:$B,[1]Herbarium_tissue_collected!$G:$G)</f>
        <v>yes, basal</v>
      </c>
      <c r="H220" s="3" t="s">
        <v>29</v>
      </c>
      <c r="I220" s="3" t="s">
        <v>284</v>
      </c>
      <c r="N220">
        <f>_xlfn.XLOOKUP(C220,[1]Herbarium_tissue_collected!$B:$B,[1]Herbarium_tissue_collected!$E:$E)</f>
        <v>1917</v>
      </c>
      <c r="S220" t="s">
        <v>44</v>
      </c>
    </row>
    <row r="221" spans="1:19" s="6" customFormat="1" x14ac:dyDescent="0.2">
      <c r="A221" s="6" t="s">
        <v>27</v>
      </c>
      <c r="B221" s="6" t="s">
        <v>8</v>
      </c>
      <c r="C221" s="6">
        <v>1367991</v>
      </c>
      <c r="D221" s="7" t="str">
        <f>_xlfn.XLOOKUP(C221,[1]Herbarium_tissue_collected!$B:$B,[1]Herbarium_tissue_collected!$D:$D)</f>
        <v>DAV310431</v>
      </c>
      <c r="E221" s="7" t="s">
        <v>238</v>
      </c>
      <c r="F221" s="7" t="str">
        <f>_xlfn.XLOOKUP(C221,[1]Herbarium_tissue_collected!$B:$B,[1]Herbarium_tissue_collected!$F:$F)</f>
        <v>4 axiallary buds</v>
      </c>
      <c r="G221" s="7" t="str">
        <f>_xlfn.XLOOKUP(C221,[1]Herbarium_tissue_collected!$B:$B,[1]Herbarium_tissue_collected!$G:$G)</f>
        <v>yes, basal</v>
      </c>
      <c r="H221" s="3" t="s">
        <v>29</v>
      </c>
      <c r="N221" s="6">
        <f>_xlfn.XLOOKUP(C221,[1]Herbarium_tissue_collected!$B:$B,[1]Herbarium_tissue_collected!$E:$E)</f>
        <v>1917</v>
      </c>
    </row>
    <row r="222" spans="1:19" x14ac:dyDescent="0.2">
      <c r="A222" t="s">
        <v>27</v>
      </c>
      <c r="B222" t="s">
        <v>8</v>
      </c>
      <c r="C222">
        <v>3479641</v>
      </c>
      <c r="D222" s="3" t="str">
        <f>_xlfn.XLOOKUP(C222,[1]Herbarium_tissue_collected!$B:$B,[1]Herbarium_tissue_collected!$D:$D)</f>
        <v>UC212637</v>
      </c>
      <c r="E222" s="3" t="s">
        <v>239</v>
      </c>
      <c r="F222" s="3" t="str">
        <f>_xlfn.XLOOKUP(C222,[1]Herbarium_tissue_collected!$B:$B,[1]Herbarium_tissue_collected!$F:$F)</f>
        <v>2 bud clusters</v>
      </c>
      <c r="G222" s="3" t="str">
        <f>_xlfn.XLOOKUP(C222,[1]Herbarium_tissue_collected!$B:$B,[1]Herbarium_tissue_collected!$G:$G)</f>
        <v>yes, cauline, intermediate morphology</v>
      </c>
      <c r="H222" s="3" t="s">
        <v>29</v>
      </c>
      <c r="I222" t="s">
        <v>284</v>
      </c>
      <c r="N222">
        <f>_xlfn.XLOOKUP(C222,[1]Herbarium_tissue_collected!$B:$B,[1]Herbarium_tissue_collected!$E:$E)</f>
        <v>1917</v>
      </c>
      <c r="S222" t="s">
        <v>45</v>
      </c>
    </row>
    <row r="223" spans="1:19" s="6" customFormat="1" x14ac:dyDescent="0.2">
      <c r="A223" s="6" t="s">
        <v>27</v>
      </c>
      <c r="B223" s="6" t="s">
        <v>8</v>
      </c>
      <c r="C223" s="6">
        <v>3479651</v>
      </c>
      <c r="D223" s="7" t="str">
        <f>_xlfn.XLOOKUP(C223,[1]Herbarium_tissue_collected!$B:$B,[1]Herbarium_tissue_collected!$D:$D)</f>
        <v>UC212638</v>
      </c>
      <c r="E223" s="7" t="s">
        <v>240</v>
      </c>
      <c r="F223" s="7" t="str">
        <f>_xlfn.XLOOKUP(C223,[1]Herbarium_tissue_collected!$B:$B,[1]Herbarium_tissue_collected!$F:$F)</f>
        <v>1 apical bud cluster</v>
      </c>
      <c r="G223" s="7" t="str">
        <f>_xlfn.XLOOKUP(C223,[1]Herbarium_tissue_collected!$B:$B,[1]Herbarium_tissue_collected!$G:$G)</f>
        <v>yes, cauline, intermediate morphology</v>
      </c>
      <c r="H223" s="3" t="s">
        <v>29</v>
      </c>
      <c r="N223" s="6">
        <f>_xlfn.XLOOKUP(C223,[1]Herbarium_tissue_collected!$B:$B,[1]Herbarium_tissue_collected!$E:$E)</f>
        <v>1917</v>
      </c>
    </row>
    <row r="224" spans="1:19" x14ac:dyDescent="0.2">
      <c r="A224" t="s">
        <v>27</v>
      </c>
      <c r="B224" t="s">
        <v>9</v>
      </c>
      <c r="C224">
        <v>2368640</v>
      </c>
      <c r="D224" s="3">
        <f>_xlfn.XLOOKUP(C224,[1]Herbarium_tissue_collected!$B:$B,[1]Herbarium_tissue_collected!$D:$D)</f>
        <v>74209</v>
      </c>
      <c r="E224" s="3">
        <v>74209</v>
      </c>
      <c r="F224" s="3" t="str">
        <f>_xlfn.XLOOKUP(C224,[1]Herbarium_tissue_collected!$B:$B,[1]Herbarium_tissue_collected!$F:$F)</f>
        <v>several bud clusters</v>
      </c>
      <c r="G224" s="3" t="str">
        <f>_xlfn.XLOOKUP(C224,[1]Herbarium_tissue_collected!$B:$B,[1]Herbarium_tissue_collected!$G:$G)</f>
        <v>yes, cauline with basal morphology</v>
      </c>
      <c r="H224" s="3" t="s">
        <v>29</v>
      </c>
      <c r="I224" t="s">
        <v>287</v>
      </c>
      <c r="N224">
        <f>_xlfn.XLOOKUP(C224,[1]Herbarium_tissue_collected!$B:$B,[1]Herbarium_tissue_collected!$E:$E)</f>
        <v>1920</v>
      </c>
      <c r="S224" t="s">
        <v>46</v>
      </c>
    </row>
    <row r="225" spans="1:19" x14ac:dyDescent="0.2">
      <c r="A225" t="s">
        <v>27</v>
      </c>
      <c r="B225" t="s">
        <v>9</v>
      </c>
      <c r="C225">
        <v>2398571</v>
      </c>
      <c r="D225" s="3">
        <f>_xlfn.XLOOKUP(C225,[1]Herbarium_tissue_collected!$B:$B,[1]Herbarium_tissue_collected!$D:$D)</f>
        <v>74207</v>
      </c>
      <c r="E225" s="3">
        <v>74207</v>
      </c>
      <c r="F225" s="3" t="str">
        <f>_xlfn.XLOOKUP(C225,[1]Herbarium_tissue_collected!$B:$B,[1]Herbarium_tissue_collected!$F:$F)</f>
        <v xml:space="preserve">3 axillary buds </v>
      </c>
      <c r="G225" s="3" t="str">
        <f>_xlfn.XLOOKUP(C225,[1]Herbarium_tissue_collected!$B:$B,[1]Herbarium_tissue_collected!$G:$G)</f>
        <v>yes, basal</v>
      </c>
      <c r="H225" s="3" t="s">
        <v>29</v>
      </c>
      <c r="I225" t="s">
        <v>287</v>
      </c>
      <c r="N225">
        <f>_xlfn.XLOOKUP(C225,[1]Herbarium_tissue_collected!$B:$B,[1]Herbarium_tissue_collected!$E:$E)</f>
        <v>1920</v>
      </c>
    </row>
    <row r="226" spans="1:19" x14ac:dyDescent="0.2">
      <c r="A226" t="s">
        <v>27</v>
      </c>
      <c r="B226" t="s">
        <v>9</v>
      </c>
      <c r="C226">
        <v>2342396</v>
      </c>
      <c r="D226" s="3">
        <f>_xlfn.XLOOKUP(C226,[1]Herbarium_tissue_collected!$B:$B,[1]Herbarium_tissue_collected!$D:$D)</f>
        <v>74312</v>
      </c>
      <c r="E226" s="3">
        <v>74312</v>
      </c>
      <c r="F226" s="3" t="str">
        <f>_xlfn.XLOOKUP(C226,[1]Herbarium_tissue_collected!$B:$B,[1]Herbarium_tissue_collected!$F:$F)</f>
        <v>3 axillary buds</v>
      </c>
      <c r="G226" s="3" t="str">
        <f>_xlfn.XLOOKUP(C226,[1]Herbarium_tissue_collected!$B:$B,[1]Herbarium_tissue_collected!$G:$G)</f>
        <v>yes, basal</v>
      </c>
      <c r="H226" s="3" t="s">
        <v>29</v>
      </c>
      <c r="N226">
        <f>_xlfn.XLOOKUP(C226,[1]Herbarium_tissue_collected!$B:$B,[1]Herbarium_tissue_collected!$E:$E)</f>
        <v>1920</v>
      </c>
      <c r="S226" t="s">
        <v>43</v>
      </c>
    </row>
    <row r="227" spans="1:19" x14ac:dyDescent="0.2">
      <c r="A227" t="s">
        <v>27</v>
      </c>
      <c r="B227" t="s">
        <v>9</v>
      </c>
      <c r="C227">
        <v>2352540</v>
      </c>
      <c r="D227" s="3">
        <f>_xlfn.XLOOKUP(C227,[1]Herbarium_tissue_collected!$B:$B,[1]Herbarium_tissue_collected!$D:$D)</f>
        <v>74248</v>
      </c>
      <c r="E227" s="3">
        <v>74248</v>
      </c>
      <c r="F227" s="3" t="str">
        <f>_xlfn.XLOOKUP(C227,[1]Herbarium_tissue_collected!$B:$B,[1]Herbarium_tissue_collected!$F:$F)</f>
        <v>4 axillary buds</v>
      </c>
      <c r="G227" s="3" t="str">
        <f>_xlfn.XLOOKUP(C227,[1]Herbarium_tissue_collected!$B:$B,[1]Herbarium_tissue_collected!$G:$G)</f>
        <v>yes, cauline with basal morphology</v>
      </c>
      <c r="H227" s="3" t="s">
        <v>29</v>
      </c>
      <c r="I227" t="s">
        <v>284</v>
      </c>
      <c r="N227">
        <f>_xlfn.XLOOKUP(C227,[1]Herbarium_tissue_collected!$B:$B,[1]Herbarium_tissue_collected!$E:$E)</f>
        <v>1921</v>
      </c>
      <c r="S227" t="s">
        <v>47</v>
      </c>
    </row>
    <row r="228" spans="1:19" s="6" customFormat="1" x14ac:dyDescent="0.2">
      <c r="A228" s="6" t="s">
        <v>27</v>
      </c>
      <c r="B228" s="6" t="s">
        <v>9</v>
      </c>
      <c r="C228" s="6">
        <v>2446817</v>
      </c>
      <c r="D228" s="7">
        <f>_xlfn.XLOOKUP(C228,[1]Herbarium_tissue_collected!$B:$B,[1]Herbarium_tissue_collected!$D:$D)</f>
        <v>74250</v>
      </c>
      <c r="E228" s="7">
        <v>74250</v>
      </c>
      <c r="F228" s="7" t="str">
        <f>_xlfn.XLOOKUP(C228,[1]Herbarium_tissue_collected!$B:$B,[1]Herbarium_tissue_collected!$F:$F)</f>
        <v>4 axillary buds, 1 terminal bud cluster, 1 little leaf</v>
      </c>
      <c r="G228" s="7" t="str">
        <f>_xlfn.XLOOKUP(C228,[1]Herbarium_tissue_collected!$B:$B,[1]Herbarium_tissue_collected!$G:$G)</f>
        <v>yes, cauline w/ intermediate morphology</v>
      </c>
      <c r="H228" s="3" t="s">
        <v>29</v>
      </c>
      <c r="N228" s="6">
        <f>_xlfn.XLOOKUP(C228,[1]Herbarium_tissue_collected!$B:$B,[1]Herbarium_tissue_collected!$E:$E)</f>
        <v>1921</v>
      </c>
    </row>
    <row r="229" spans="1:19" s="6" customFormat="1" x14ac:dyDescent="0.2">
      <c r="A229" s="6" t="s">
        <v>27</v>
      </c>
      <c r="B229" s="6" t="s">
        <v>9</v>
      </c>
      <c r="C229" s="6">
        <v>2388593</v>
      </c>
      <c r="D229" s="7">
        <f>_xlfn.XLOOKUP(C229,[1]Herbarium_tissue_collected!$B:$B,[1]Herbarium_tissue_collected!$D:$D)</f>
        <v>74249</v>
      </c>
      <c r="E229" s="7">
        <v>74249</v>
      </c>
      <c r="F229" s="7" t="str">
        <f>_xlfn.XLOOKUP(C229,[1]Herbarium_tissue_collected!$B:$B,[1]Herbarium_tissue_collected!$F:$F)</f>
        <v>2 axillary buds</v>
      </c>
      <c r="G229" s="7" t="str">
        <f>_xlfn.XLOOKUP(C229,[1]Herbarium_tissue_collected!$B:$B,[1]Herbarium_tissue_collected!$G:$G)</f>
        <v>yes, cauline w/ intermediate morphology</v>
      </c>
      <c r="H229" s="3" t="s">
        <v>29</v>
      </c>
      <c r="N229" s="6">
        <f>_xlfn.XLOOKUP(C229,[1]Herbarium_tissue_collected!$B:$B,[1]Herbarium_tissue_collected!$E:$E)</f>
        <v>1921</v>
      </c>
    </row>
    <row r="230" spans="1:19" s="6" customFormat="1" x14ac:dyDescent="0.2">
      <c r="A230" s="6" t="s">
        <v>27</v>
      </c>
      <c r="B230" s="6" t="s">
        <v>9</v>
      </c>
      <c r="C230" s="6">
        <v>2366181</v>
      </c>
      <c r="D230" s="7">
        <f>_xlfn.XLOOKUP(C230,[1]Herbarium_tissue_collected!$B:$B,[1]Herbarium_tissue_collected!$D:$D)</f>
        <v>74247</v>
      </c>
      <c r="E230" s="7">
        <v>74247</v>
      </c>
      <c r="F230" s="7" t="str">
        <f>_xlfn.XLOOKUP(C230,[1]Herbarium_tissue_collected!$B:$B,[1]Herbarium_tissue_collected!$F:$F)</f>
        <v>2 axillary buds</v>
      </c>
      <c r="G230" s="7" t="str">
        <f>_xlfn.XLOOKUP(C230,[1]Herbarium_tissue_collected!$B:$B,[1]Herbarium_tissue_collected!$G:$G)</f>
        <v>yes, cauline with intermediate morphology</v>
      </c>
      <c r="H230" s="3" t="s">
        <v>29</v>
      </c>
      <c r="N230" s="6">
        <f>_xlfn.XLOOKUP(C230,[1]Herbarium_tissue_collected!$B:$B,[1]Herbarium_tissue_collected!$E:$E)</f>
        <v>1921</v>
      </c>
    </row>
    <row r="231" spans="1:19" s="6" customFormat="1" x14ac:dyDescent="0.2">
      <c r="A231" s="6" t="s">
        <v>27</v>
      </c>
      <c r="B231" s="6" t="s">
        <v>9</v>
      </c>
      <c r="C231" s="6">
        <v>2322547</v>
      </c>
      <c r="D231" s="7">
        <f>_xlfn.XLOOKUP(C231,[1]Herbarium_tissue_collected!$B:$B,[1]Herbarium_tissue_collected!$D:$D)</f>
        <v>74245</v>
      </c>
      <c r="E231" s="7">
        <v>74245</v>
      </c>
      <c r="F231" s="7" t="str">
        <f>_xlfn.XLOOKUP(C231,[1]Herbarium_tissue_collected!$B:$B,[1]Herbarium_tissue_collected!$F:$F)</f>
        <v>3 axillary buds</v>
      </c>
      <c r="G231" s="7" t="str">
        <f>_xlfn.XLOOKUP(C231,[1]Herbarium_tissue_collected!$B:$B,[1]Herbarium_tissue_collected!$G:$G)</f>
        <v>yes, cauline with intermediate morphology</v>
      </c>
      <c r="H231" s="3" t="s">
        <v>29</v>
      </c>
      <c r="N231" s="6">
        <f>_xlfn.XLOOKUP(C231,[1]Herbarium_tissue_collected!$B:$B,[1]Herbarium_tissue_collected!$E:$E)</f>
        <v>1921</v>
      </c>
    </row>
    <row r="232" spans="1:19" s="6" customFormat="1" x14ac:dyDescent="0.2">
      <c r="A232" s="6" t="s">
        <v>27</v>
      </c>
      <c r="B232" s="6" t="s">
        <v>9</v>
      </c>
      <c r="C232" s="6">
        <v>2317066</v>
      </c>
      <c r="D232" s="7">
        <f>_xlfn.XLOOKUP(C232,[1]Herbarium_tissue_collected!$B:$B,[1]Herbarium_tissue_collected!$D:$D)</f>
        <v>74244</v>
      </c>
      <c r="E232" s="7">
        <v>74244</v>
      </c>
      <c r="F232" s="7" t="str">
        <f>_xlfn.XLOOKUP(C232,[1]Herbarium_tissue_collected!$B:$B,[1]Herbarium_tissue_collected!$F:$F)</f>
        <v>3 axillary buds</v>
      </c>
      <c r="G232" s="7" t="str">
        <f>_xlfn.XLOOKUP(C232,[1]Herbarium_tissue_collected!$B:$B,[1]Herbarium_tissue_collected!$G:$G)</f>
        <v>yes, cauline with intermediate morphology</v>
      </c>
      <c r="H232" s="3" t="s">
        <v>29</v>
      </c>
      <c r="N232" s="6">
        <f>_xlfn.XLOOKUP(C232,[1]Herbarium_tissue_collected!$B:$B,[1]Herbarium_tissue_collected!$E:$E)</f>
        <v>1921</v>
      </c>
    </row>
    <row r="233" spans="1:19" x14ac:dyDescent="0.2">
      <c r="A233" t="s">
        <v>27</v>
      </c>
      <c r="B233" t="s">
        <v>9</v>
      </c>
      <c r="C233">
        <v>2331781</v>
      </c>
      <c r="D233" s="3">
        <f>_xlfn.XLOOKUP(C233,[1]Herbarium_tissue_collected!$B:$B,[1]Herbarium_tissue_collected!$D:$D)</f>
        <v>74362</v>
      </c>
      <c r="E233" s="3">
        <v>74362</v>
      </c>
      <c r="F233" s="3" t="str">
        <f>_xlfn.XLOOKUP(C233,[1]Herbarium_tissue_collected!$B:$B,[1]Herbarium_tissue_collected!$F:$F)</f>
        <v>2 axillary bud, 1 terminal bud cluster</v>
      </c>
      <c r="G233" s="3" t="str">
        <f>_xlfn.XLOOKUP(C233,[1]Herbarium_tissue_collected!$B:$B,[1]Herbarium_tissue_collected!$G:$G)</f>
        <v xml:space="preserve">yes, cauline with cauline morphology </v>
      </c>
      <c r="H233" s="3" t="s">
        <v>29</v>
      </c>
      <c r="N233">
        <f>_xlfn.XLOOKUP(C233,[1]Herbarium_tissue_collected!$B:$B,[1]Herbarium_tissue_collected!$E:$E)</f>
        <v>1921</v>
      </c>
      <c r="S233" t="s">
        <v>48</v>
      </c>
    </row>
    <row r="234" spans="1:19" x14ac:dyDescent="0.2">
      <c r="A234" t="s">
        <v>27</v>
      </c>
      <c r="B234" t="s">
        <v>9</v>
      </c>
      <c r="C234">
        <v>2395018</v>
      </c>
      <c r="D234" s="3">
        <f>_xlfn.XLOOKUP(C234,[1]Herbarium_tissue_collected!$B:$B,[1]Herbarium_tissue_collected!$D:$D)</f>
        <v>74260</v>
      </c>
      <c r="E234" s="3">
        <v>74260</v>
      </c>
      <c r="F234" s="3" t="str">
        <f>_xlfn.XLOOKUP(C234,[1]Herbarium_tissue_collected!$B:$B,[1]Herbarium_tissue_collected!$F:$F)</f>
        <v>4 axillary bud clusters</v>
      </c>
      <c r="G234" s="3" t="str">
        <f>_xlfn.XLOOKUP(C234,[1]Herbarium_tissue_collected!$B:$B,[1]Herbarium_tissue_collected!$G:$G)</f>
        <v xml:space="preserve">yes, cauline with basal morphology </v>
      </c>
      <c r="H234" s="3" t="s">
        <v>29</v>
      </c>
      <c r="I234" t="s">
        <v>287</v>
      </c>
      <c r="N234">
        <f>_xlfn.XLOOKUP(C234,[1]Herbarium_tissue_collected!$B:$B,[1]Herbarium_tissue_collected!$E:$E)</f>
        <v>1924</v>
      </c>
      <c r="S234" t="s">
        <v>62</v>
      </c>
    </row>
    <row r="235" spans="1:19" x14ac:dyDescent="0.2">
      <c r="A235" t="s">
        <v>27</v>
      </c>
      <c r="B235" t="s">
        <v>9</v>
      </c>
      <c r="C235">
        <v>2311023</v>
      </c>
      <c r="D235" s="3">
        <f>_xlfn.XLOOKUP(C235,[1]Herbarium_tissue_collected!$B:$B,[1]Herbarium_tissue_collected!$D:$D)</f>
        <v>74259</v>
      </c>
      <c r="E235" s="3">
        <v>74259</v>
      </c>
      <c r="F235" s="3" t="str">
        <f>_xlfn.XLOOKUP(C235,[1]Herbarium_tissue_collected!$B:$B,[1]Herbarium_tissue_collected!$F:$F)</f>
        <v>3 axillary buds</v>
      </c>
      <c r="G235" s="3" t="str">
        <f>_xlfn.XLOOKUP(C235,[1]Herbarium_tissue_collected!$B:$B,[1]Herbarium_tissue_collected!$G:$G)</f>
        <v>yes, cauline with basal morphology</v>
      </c>
      <c r="H235" s="3" t="s">
        <v>29</v>
      </c>
      <c r="N235">
        <f>_xlfn.XLOOKUP(C235,[1]Herbarium_tissue_collected!$B:$B,[1]Herbarium_tissue_collected!$E:$E)</f>
        <v>1925</v>
      </c>
      <c r="S235" t="s">
        <v>62</v>
      </c>
    </row>
    <row r="236" spans="1:19" x14ac:dyDescent="0.2">
      <c r="A236" t="s">
        <v>27</v>
      </c>
      <c r="B236" t="s">
        <v>9</v>
      </c>
      <c r="C236">
        <v>2386302</v>
      </c>
      <c r="D236" s="3">
        <f>_xlfn.XLOOKUP(C236,[1]Herbarium_tissue_collected!$B:$B,[1]Herbarium_tissue_collected!$D:$D)</f>
        <v>74329</v>
      </c>
      <c r="E236" s="3">
        <v>74329</v>
      </c>
      <c r="F236" s="3" t="str">
        <f>_xlfn.XLOOKUP(C236,[1]Herbarium_tissue_collected!$B:$B,[1]Herbarium_tissue_collected!$F:$F)</f>
        <v>3 terminal  bud clusters</v>
      </c>
      <c r="G236" s="3" t="str">
        <f>_xlfn.XLOOKUP(C236,[1]Herbarium_tissue_collected!$B:$B,[1]Herbarium_tissue_collected!$G:$G)</f>
        <v xml:space="preserve">yes, cauline with cauline morphology </v>
      </c>
      <c r="H236" s="3" t="s">
        <v>29</v>
      </c>
      <c r="I236" t="s">
        <v>287</v>
      </c>
      <c r="N236">
        <f>_xlfn.XLOOKUP(C236,[1]Herbarium_tissue_collected!$B:$B,[1]Herbarium_tissue_collected!$E:$E)</f>
        <v>1927</v>
      </c>
      <c r="S236" t="s">
        <v>49</v>
      </c>
    </row>
    <row r="237" spans="1:19" x14ac:dyDescent="0.2">
      <c r="A237" t="s">
        <v>27</v>
      </c>
      <c r="B237" t="s">
        <v>9</v>
      </c>
      <c r="C237">
        <v>1368002</v>
      </c>
      <c r="D237" s="3" t="str">
        <f>_xlfn.XLOOKUP(C237,[1]Herbarium_tissue_collected!$B:$B,[1]Herbarium_tissue_collected!$D:$D)</f>
        <v>DAV310416</v>
      </c>
      <c r="E237" s="3" t="s">
        <v>241</v>
      </c>
      <c r="F237" s="3" t="str">
        <f>_xlfn.XLOOKUP(C237,[1]Herbarium_tissue_collected!$B:$B,[1]Herbarium_tissue_collected!$F:$F)</f>
        <v>SD00062793</v>
      </c>
      <c r="G237" s="3" t="str">
        <f>_xlfn.XLOOKUP(C237,[1]Herbarium_tissue_collected!$B:$B,[1]Herbarium_tissue_collected!$G:$G)</f>
        <v>yes, cauline with basal morphology</v>
      </c>
      <c r="H237" s="3" t="s">
        <v>29</v>
      </c>
      <c r="I237" t="s">
        <v>287</v>
      </c>
      <c r="N237">
        <f>_xlfn.XLOOKUP(C237,[1]Herbarium_tissue_collected!$B:$B,[1]Herbarium_tissue_collected!$E:$E)</f>
        <v>1929</v>
      </c>
      <c r="S237" t="s">
        <v>62</v>
      </c>
    </row>
    <row r="238" spans="1:19" x14ac:dyDescent="0.2">
      <c r="A238" t="s">
        <v>27</v>
      </c>
      <c r="B238" t="s">
        <v>9</v>
      </c>
      <c r="C238">
        <v>3792158</v>
      </c>
      <c r="D238" s="3" t="str">
        <f>_xlfn.XLOOKUP(C238,[1]Herbarium_tissue_collected!$B:$B,[1]Herbarium_tissue_collected!$D:$D)</f>
        <v>FSC0010443</v>
      </c>
      <c r="E238" s="3" t="s">
        <v>242</v>
      </c>
      <c r="F238" s="3" t="str">
        <f>_xlfn.XLOOKUP(C238,[1]Herbarium_tissue_collected!$B:$B,[1]Herbarium_tissue_collected!$F:$F)</f>
        <v>3 axillary buds and one young leaf</v>
      </c>
      <c r="G238" s="3" t="str">
        <f>_xlfn.XLOOKUP(C238,[1]Herbarium_tissue_collected!$B:$B,[1]Herbarium_tissue_collected!$G:$G)</f>
        <v>yes, cauline with basal morphology</v>
      </c>
      <c r="H238" s="3" t="s">
        <v>29</v>
      </c>
      <c r="I238" t="s">
        <v>287</v>
      </c>
      <c r="N238">
        <f>_xlfn.XLOOKUP(C238,[1]Herbarium_tissue_collected!$B:$B,[1]Herbarium_tissue_collected!$E:$E)</f>
        <v>1929</v>
      </c>
      <c r="S238" t="s">
        <v>50</v>
      </c>
    </row>
    <row r="239" spans="1:19" x14ac:dyDescent="0.2">
      <c r="A239" t="s">
        <v>27</v>
      </c>
      <c r="B239" t="s">
        <v>9</v>
      </c>
      <c r="C239" s="3">
        <v>3792196</v>
      </c>
      <c r="D239" s="3" t="str">
        <f>_xlfn.XLOOKUP(C239,[1]Herbarium_tissue_collected!$B:$B,[1]Herbarium_tissue_collected!$D:$D)</f>
        <v>FSC0010481</v>
      </c>
      <c r="E239" s="3" t="s">
        <v>243</v>
      </c>
      <c r="F239" s="3" t="str">
        <f>_xlfn.XLOOKUP(C239,[1]Herbarium_tissue_collected!$B:$B,[1]Herbarium_tissue_collected!$F:$F)</f>
        <v>3 buds and some leaf bits</v>
      </c>
      <c r="G239" s="3" t="str">
        <f>_xlfn.XLOOKUP(C239,[1]Herbarium_tissue_collected!$B:$B,[1]Herbarium_tissue_collected!$G:$G)</f>
        <v>yes, basal</v>
      </c>
      <c r="H239" s="3" t="s">
        <v>29</v>
      </c>
      <c r="I239" t="s">
        <v>284</v>
      </c>
      <c r="K239" t="s">
        <v>293</v>
      </c>
      <c r="N239">
        <f>_xlfn.XLOOKUP(C239,[1]Herbarium_tissue_collected!$B:$B,[1]Herbarium_tissue_collected!$E:$E)</f>
        <v>1929</v>
      </c>
      <c r="S239" t="s">
        <v>43</v>
      </c>
    </row>
    <row r="240" spans="1:19" x14ac:dyDescent="0.2">
      <c r="A240" t="s">
        <v>27</v>
      </c>
      <c r="B240" t="s">
        <v>17</v>
      </c>
      <c r="C240">
        <v>3260290</v>
      </c>
      <c r="D240" s="3" t="str">
        <f>_xlfn.XLOOKUP(C240,[1]Herbarium_tissue_collected!$B:$B,[1]Herbarium_tissue_collected!$D:$D)</f>
        <v>UC407038</v>
      </c>
      <c r="E240" s="3" t="s">
        <v>244</v>
      </c>
      <c r="F240" s="3" t="str">
        <f>_xlfn.XLOOKUP(C240,[1]Herbarium_tissue_collected!$B:$B,[1]Herbarium_tissue_collected!$F:$F)</f>
        <v>2 big bud clusters</v>
      </c>
      <c r="G240" s="3" t="str">
        <f>_xlfn.XLOOKUP(C240,[1]Herbarium_tissue_collected!$B:$B,[1]Herbarium_tissue_collected!$G:$G)</f>
        <v>yes, basal</v>
      </c>
      <c r="H240" s="3" t="s">
        <v>29</v>
      </c>
      <c r="I240" t="s">
        <v>288</v>
      </c>
      <c r="N240">
        <f>_xlfn.XLOOKUP(C240,[1]Herbarium_tissue_collected!$B:$B,[1]Herbarium_tissue_collected!$E:$E)</f>
        <v>1930</v>
      </c>
      <c r="S240" t="s">
        <v>54</v>
      </c>
    </row>
    <row r="241" spans="1:20" s="6" customFormat="1" x14ac:dyDescent="0.2">
      <c r="A241" s="6" t="s">
        <v>27</v>
      </c>
      <c r="B241" s="6" t="s">
        <v>17</v>
      </c>
      <c r="C241" s="6">
        <v>3334730</v>
      </c>
      <c r="D241" s="7" t="str">
        <f>_xlfn.XLOOKUP(C241,[1]Herbarium_tissue_collected!$B:$B,[1]Herbarium_tissue_collected!$D:$D)</f>
        <v>UC650429</v>
      </c>
      <c r="E241" s="7" t="s">
        <v>245</v>
      </c>
      <c r="F241" s="7" t="str">
        <f>_xlfn.XLOOKUP(C241,[1]Herbarium_tissue_collected!$B:$B,[1]Herbarium_tissue_collected!$F:$F)</f>
        <v>3 bud clusters</v>
      </c>
      <c r="G241" s="7" t="str">
        <f>_xlfn.XLOOKUP(C241,[1]Herbarium_tissue_collected!$B:$B,[1]Herbarium_tissue_collected!$G:$G)</f>
        <v>yes, basal</v>
      </c>
      <c r="I241" t="s">
        <v>288</v>
      </c>
      <c r="N241" s="6">
        <f>_xlfn.XLOOKUP(C241,[1]Herbarium_tissue_collected!$B:$B,[1]Herbarium_tissue_collected!$E:$E)</f>
        <v>1930</v>
      </c>
    </row>
    <row r="242" spans="1:20" s="6" customFormat="1" x14ac:dyDescent="0.2">
      <c r="A242" s="6" t="s">
        <v>27</v>
      </c>
      <c r="B242" s="6" t="s">
        <v>17</v>
      </c>
      <c r="C242" s="6">
        <v>2408641</v>
      </c>
      <c r="D242" s="7">
        <f>_xlfn.XLOOKUP(C242,[1]Herbarium_tissue_collected!$B:$B,[1]Herbarium_tissue_collected!$D:$D)</f>
        <v>74267</v>
      </c>
      <c r="E242" s="7">
        <v>74267</v>
      </c>
      <c r="F242" s="7" t="str">
        <f>_xlfn.XLOOKUP(C242,[1]Herbarium_tissue_collected!$B:$B,[1]Herbarium_tissue_collected!$F:$F)</f>
        <v>3 terminal  bud clusters</v>
      </c>
      <c r="G242" s="7" t="str">
        <f>_xlfn.XLOOKUP(C242,[1]Herbarium_tissue_collected!$B:$B,[1]Herbarium_tissue_collected!$G:$G)</f>
        <v>yes, basal</v>
      </c>
      <c r="I242" s="6" t="s">
        <v>288</v>
      </c>
      <c r="K242" s="6" t="s">
        <v>292</v>
      </c>
      <c r="N242" s="6">
        <f>_xlfn.XLOOKUP(C242,[1]Herbarium_tissue_collected!$B:$B,[1]Herbarium_tissue_collected!$E:$E)</f>
        <v>1930</v>
      </c>
    </row>
    <row r="243" spans="1:20" x14ac:dyDescent="0.2">
      <c r="A243" t="s">
        <v>27</v>
      </c>
      <c r="B243" t="s">
        <v>17</v>
      </c>
      <c r="C243">
        <v>468997</v>
      </c>
      <c r="D243" s="3" t="str">
        <f>_xlfn.XLOOKUP(C243,[1]Herbarium_tissue_collected!$B:$B,[1]Herbarium_tissue_collected!$D:$D)</f>
        <v>SD00062792</v>
      </c>
      <c r="E243" s="3" t="s">
        <v>246</v>
      </c>
      <c r="F243" s="3" t="str">
        <f>_xlfn.XLOOKUP(C243,[1]Herbarium_tissue_collected!$B:$B,[1]Herbarium_tissue_collected!$F:$F)</f>
        <v>1 axillary bud; 2 floral bud clusters; loose buds</v>
      </c>
      <c r="G243" s="3" t="str">
        <f>_xlfn.XLOOKUP(C243,[1]Herbarium_tissue_collected!$B:$B,[1]Herbarium_tissue_collected!$G:$G)</f>
        <v>yes, cauline</v>
      </c>
      <c r="I243" t="s">
        <v>287</v>
      </c>
      <c r="N243">
        <f>_xlfn.XLOOKUP(C243,[1]Herbarium_tissue_collected!$B:$B,[1]Herbarium_tissue_collected!$E:$E)</f>
        <v>1932</v>
      </c>
      <c r="S243" t="s">
        <v>43</v>
      </c>
    </row>
    <row r="244" spans="1:20" x14ac:dyDescent="0.2">
      <c r="A244" t="s">
        <v>27</v>
      </c>
      <c r="B244" t="s">
        <v>17</v>
      </c>
      <c r="C244">
        <v>468993</v>
      </c>
      <c r="D244" s="3" t="str">
        <f>_xlfn.XLOOKUP(C244,[1]Herbarium_tissue_collected!$B:$B,[1]Herbarium_tissue_collected!$D:$D)</f>
        <v>SD00062793</v>
      </c>
      <c r="E244" s="3" t="s">
        <v>247</v>
      </c>
      <c r="F244" s="3" t="str">
        <f>_xlfn.XLOOKUP(C244,[1]Herbarium_tissue_collected!$B:$B,[1]Herbarium_tissue_collected!$F:$F)</f>
        <v>few floral bud clusters</v>
      </c>
      <c r="G244" s="3" t="str">
        <f>_xlfn.XLOOKUP(C244,[1]Herbarium_tissue_collected!$B:$B,[1]Herbarium_tissue_collected!$G:$G)</f>
        <v>yes, cauline</v>
      </c>
      <c r="I244" t="s">
        <v>287</v>
      </c>
      <c r="N244">
        <f>_xlfn.XLOOKUP(C244,[1]Herbarium_tissue_collected!$B:$B,[1]Herbarium_tissue_collected!$E:$E)</f>
        <v>1933</v>
      </c>
      <c r="S244" t="s">
        <v>59</v>
      </c>
    </row>
    <row r="245" spans="1:20" x14ac:dyDescent="0.2">
      <c r="A245" t="s">
        <v>27</v>
      </c>
      <c r="B245" t="s">
        <v>17</v>
      </c>
      <c r="C245">
        <v>3379131</v>
      </c>
      <c r="D245" s="3" t="str">
        <f>_xlfn.XLOOKUP(C245,[1]Herbarium_tissue_collected!$B:$B,[1]Herbarium_tissue_collected!$D:$D)</f>
        <v>UC1126745</v>
      </c>
      <c r="E245" s="3" t="s">
        <v>248</v>
      </c>
      <c r="F245" s="3" t="str">
        <f>_xlfn.XLOOKUP(C245,[1]Herbarium_tissue_collected!$B:$B,[1]Herbarium_tissue_collected!$F:$F)</f>
        <v>2 axiallary buds, 2 bud clusters</v>
      </c>
      <c r="G245" s="3" t="str">
        <f>_xlfn.XLOOKUP(C245,[1]Herbarium_tissue_collected!$B:$B,[1]Herbarium_tissue_collected!$G:$G)</f>
        <v>yes, cauline with basal morphology</v>
      </c>
      <c r="N245">
        <f>_xlfn.XLOOKUP(C245,[1]Herbarium_tissue_collected!$B:$B,[1]Herbarium_tissue_collected!$E:$E)</f>
        <v>1934</v>
      </c>
      <c r="S245" t="s">
        <v>63</v>
      </c>
    </row>
    <row r="246" spans="1:20" s="6" customFormat="1" x14ac:dyDescent="0.2">
      <c r="A246" s="6" t="s">
        <v>27</v>
      </c>
      <c r="B246" s="6" t="s">
        <v>17</v>
      </c>
      <c r="C246" s="7">
        <v>3550026</v>
      </c>
      <c r="D246" s="7" t="str">
        <f>_xlfn.XLOOKUP(C246,[1]Herbarium_tissue_collected!$B:$B,[1]Herbarium_tissue_collected!$D:$D)</f>
        <v>UC1126746</v>
      </c>
      <c r="E246" s="7" t="s">
        <v>249</v>
      </c>
      <c r="F246" s="7" t="str">
        <f>_xlfn.XLOOKUP(C246,[1]Herbarium_tissue_collected!$B:$B,[1]Herbarium_tissue_collected!$F:$F)</f>
        <v>5 bud clusters</v>
      </c>
      <c r="G246" s="7" t="str">
        <f>_xlfn.XLOOKUP(C246,[1]Herbarium_tissue_collected!$B:$B,[1]Herbarium_tissue_collected!$G:$G)</f>
        <v>yes, cauline with basal morphology</v>
      </c>
      <c r="H246" s="6" t="s">
        <v>285</v>
      </c>
      <c r="I246" s="13" t="s">
        <v>284</v>
      </c>
      <c r="J246" s="12"/>
      <c r="N246" s="6">
        <f>_xlfn.XLOOKUP(C246,[1]Herbarium_tissue_collected!$B:$B,[1]Herbarium_tissue_collected!$E:$E)</f>
        <v>1934</v>
      </c>
      <c r="T246" s="6" t="s">
        <v>65</v>
      </c>
    </row>
    <row r="247" spans="1:20" s="6" customFormat="1" x14ac:dyDescent="0.2">
      <c r="A247" s="6" t="s">
        <v>27</v>
      </c>
      <c r="B247" s="6" t="s">
        <v>17</v>
      </c>
      <c r="C247" s="6">
        <v>3792171</v>
      </c>
      <c r="D247" s="7" t="str">
        <f>_xlfn.XLOOKUP(C247,[1]Herbarium_tissue_collected!$B:$B,[1]Herbarium_tissue_collected!$D:$D)</f>
        <v>FSC0010456</v>
      </c>
      <c r="E247" s="7" t="s">
        <v>250</v>
      </c>
      <c r="F247" s="7" t="str">
        <f>_xlfn.XLOOKUP(C247,[1]Herbarium_tissue_collected!$B:$B,[1]Herbarium_tissue_collected!$F:$F)</f>
        <v>3 bud clusters</v>
      </c>
      <c r="G247" s="7" t="str">
        <f>_xlfn.XLOOKUP(C247,[1]Herbarium_tissue_collected!$B:$B,[1]Herbarium_tissue_collected!$G:$G)</f>
        <v>yes, cauline, not basal morphology</v>
      </c>
      <c r="N247" s="6">
        <f>_xlfn.XLOOKUP(C247,[1]Herbarium_tissue_collected!$B:$B,[1]Herbarium_tissue_collected!$E:$E)</f>
        <v>1934</v>
      </c>
    </row>
    <row r="248" spans="1:20" s="6" customFormat="1" x14ac:dyDescent="0.2">
      <c r="A248" s="6" t="s">
        <v>27</v>
      </c>
      <c r="B248" s="6" t="s">
        <v>17</v>
      </c>
      <c r="C248" s="6">
        <v>3417594</v>
      </c>
      <c r="D248" s="7" t="str">
        <f>_xlfn.XLOOKUP(C248,[1]Herbarium_tissue_collected!$B:$B,[1]Herbarium_tissue_collected!$D:$D)</f>
        <v>UC1614555</v>
      </c>
      <c r="E248" s="7" t="s">
        <v>251</v>
      </c>
      <c r="F248" s="7" t="str">
        <f>_xlfn.XLOOKUP(C248,[1]Herbarium_tissue_collected!$B:$B,[1]Herbarium_tissue_collected!$F:$F)</f>
        <v>4 bud clusters</v>
      </c>
      <c r="G248" s="7" t="str">
        <f>_xlfn.XLOOKUP(C248,[1]Herbarium_tissue_collected!$B:$B,[1]Herbarium_tissue_collected!$G:$G)</f>
        <v>yes, cauline, intermediate morphology</v>
      </c>
      <c r="N248" s="6">
        <f>_xlfn.XLOOKUP(C248,[1]Herbarium_tissue_collected!$B:$B,[1]Herbarium_tissue_collected!$E:$E)</f>
        <v>1934</v>
      </c>
    </row>
    <row r="249" spans="1:20" x14ac:dyDescent="0.2">
      <c r="A249" t="s">
        <v>27</v>
      </c>
      <c r="B249" t="s">
        <v>17</v>
      </c>
      <c r="C249">
        <v>3433650</v>
      </c>
      <c r="D249" s="3" t="str">
        <f>_xlfn.XLOOKUP(C249,[1]Herbarium_tissue_collected!$B:$B,[1]Herbarium_tissue_collected!$D:$D)</f>
        <v>UC1126749</v>
      </c>
      <c r="E249" s="3" t="s">
        <v>252</v>
      </c>
      <c r="F249" s="3" t="str">
        <f>_xlfn.XLOOKUP(C249,[1]Herbarium_tissue_collected!$B:$B,[1]Herbarium_tissue_collected!$F:$F)</f>
        <v>3 terminal bud clusters</v>
      </c>
      <c r="G249" s="3" t="str">
        <f>_xlfn.XLOOKUP(C249,[1]Herbarium_tissue_collected!$B:$B,[1]Herbarium_tissue_collected!$G:$G)</f>
        <v>yes, cauline, intermediate morphology</v>
      </c>
      <c r="I249" s="3" t="s">
        <v>284</v>
      </c>
      <c r="N249">
        <f>_xlfn.XLOOKUP(C249,[1]Herbarium_tissue_collected!$B:$B,[1]Herbarium_tissue_collected!$E:$E)</f>
        <v>1935</v>
      </c>
      <c r="S249" t="s">
        <v>60</v>
      </c>
    </row>
    <row r="250" spans="1:20" s="6" customFormat="1" x14ac:dyDescent="0.2">
      <c r="A250" s="6" t="s">
        <v>27</v>
      </c>
      <c r="B250" s="6" t="s">
        <v>17</v>
      </c>
      <c r="C250" s="6">
        <v>3306212</v>
      </c>
      <c r="D250" s="7" t="str">
        <f>_xlfn.XLOOKUP(C250,[1]Herbarium_tissue_collected!$B:$B,[1]Herbarium_tissue_collected!$D:$D)</f>
        <v>UC1126752</v>
      </c>
      <c r="E250" s="7" t="s">
        <v>253</v>
      </c>
      <c r="F250" s="7" t="str">
        <f>_xlfn.XLOOKUP(C250,[1]Herbarium_tissue_collected!$B:$B,[1]Herbarium_tissue_collected!$F:$F)</f>
        <v>4 terminal bud clusters</v>
      </c>
      <c r="G250" s="7" t="str">
        <f>_xlfn.XLOOKUP(C250,[1]Herbarium_tissue_collected!$B:$B,[1]Herbarium_tissue_collected!$G:$G)</f>
        <v>yes, cauline</v>
      </c>
      <c r="N250" s="6">
        <f>_xlfn.XLOOKUP(C250,[1]Herbarium_tissue_collected!$B:$B,[1]Herbarium_tissue_collected!$E:$E)</f>
        <v>1935</v>
      </c>
      <c r="S250" s="6" t="s">
        <v>48</v>
      </c>
    </row>
    <row r="251" spans="1:20" x14ac:dyDescent="0.2">
      <c r="A251" t="s">
        <v>27</v>
      </c>
      <c r="B251" t="s">
        <v>17</v>
      </c>
      <c r="C251">
        <v>3310288</v>
      </c>
      <c r="D251" s="3" t="str">
        <f>_xlfn.XLOOKUP(C251,[1]Herbarium_tissue_collected!$B:$B,[1]Herbarium_tissue_collected!$D:$D)</f>
        <v>UC606739</v>
      </c>
      <c r="E251" s="3" t="s">
        <v>254</v>
      </c>
      <c r="F251" s="3" t="str">
        <f>_xlfn.XLOOKUP(C251,[1]Herbarium_tissue_collected!$B:$B,[1]Herbarium_tissue_collected!$F:$F)</f>
        <v>2 bud clusters</v>
      </c>
      <c r="G251" s="3" t="str">
        <f>_xlfn.XLOOKUP(C251,[1]Herbarium_tissue_collected!$B:$B,[1]Herbarium_tissue_collected!$G:$G)</f>
        <v>yes, cauline with basal morphology</v>
      </c>
      <c r="I251" t="s">
        <v>287</v>
      </c>
      <c r="N251">
        <f>_xlfn.XLOOKUP(C251,[1]Herbarium_tissue_collected!$B:$B,[1]Herbarium_tissue_collected!$E:$E)</f>
        <v>1936</v>
      </c>
      <c r="S251" t="s">
        <v>59</v>
      </c>
    </row>
    <row r="252" spans="1:20" x14ac:dyDescent="0.2">
      <c r="A252" t="s">
        <v>27</v>
      </c>
      <c r="B252" t="s">
        <v>17</v>
      </c>
      <c r="C252">
        <v>2405523</v>
      </c>
      <c r="D252" s="3">
        <f>_xlfn.XLOOKUP(C252,[1]Herbarium_tissue_collected!$B:$B,[1]Herbarium_tissue_collected!$D:$D)</f>
        <v>74175</v>
      </c>
      <c r="E252" s="3">
        <v>74175</v>
      </c>
      <c r="F252" s="3" t="str">
        <f>_xlfn.XLOOKUP(C252,[1]Herbarium_tissue_collected!$B:$B,[1]Herbarium_tissue_collected!$F:$F)</f>
        <v>4 axillary buds, little leaf</v>
      </c>
      <c r="G252" s="3" t="str">
        <f>_xlfn.XLOOKUP(C252,[1]Herbarium_tissue_collected!$B:$B,[1]Herbarium_tissue_collected!$G:$G)</f>
        <v xml:space="preserve">yes, basal morphology </v>
      </c>
      <c r="I252" t="s">
        <v>287</v>
      </c>
      <c r="N252">
        <f>_xlfn.XLOOKUP(C252,[1]Herbarium_tissue_collected!$B:$B,[1]Herbarium_tissue_collected!$E:$E)</f>
        <v>1937</v>
      </c>
      <c r="S252" t="s">
        <v>61</v>
      </c>
    </row>
    <row r="253" spans="1:20" x14ac:dyDescent="0.2">
      <c r="A253" t="s">
        <v>27</v>
      </c>
      <c r="B253" t="s">
        <v>18</v>
      </c>
      <c r="C253">
        <v>1367984</v>
      </c>
      <c r="D253" s="3" t="str">
        <f>_xlfn.XLOOKUP(C253,[1]Herbarium_tissue_collected!$B:$B,[1]Herbarium_tissue_collected!$D:$D)</f>
        <v>DAV300681</v>
      </c>
      <c r="E253" s="3" t="s">
        <v>255</v>
      </c>
      <c r="F253" s="3" t="str">
        <f>_xlfn.XLOOKUP(C253,[1]Herbarium_tissue_collected!$B:$B,[1]Herbarium_tissue_collected!$F:$F)</f>
        <v>4 axiallary buds, few lil leaves</v>
      </c>
      <c r="G253" s="3" t="str">
        <f>_xlfn.XLOOKUP(C253,[1]Herbarium_tissue_collected!$B:$B,[1]Herbarium_tissue_collected!$G:$G)</f>
        <v>yes, basal</v>
      </c>
      <c r="I253" t="s">
        <v>287</v>
      </c>
      <c r="N253">
        <f>_xlfn.XLOOKUP(C253,[1]Herbarium_tissue_collected!$B:$B,[1]Herbarium_tissue_collected!$E:$E)</f>
        <v>1942</v>
      </c>
      <c r="S253" t="s">
        <v>43</v>
      </c>
    </row>
    <row r="254" spans="1:20" x14ac:dyDescent="0.2">
      <c r="A254" t="s">
        <v>27</v>
      </c>
      <c r="B254" t="s">
        <v>18</v>
      </c>
      <c r="C254">
        <v>3286045</v>
      </c>
      <c r="D254" s="3" t="str">
        <f>_xlfn.XLOOKUP(C254,[1]Herbarium_tissue_collected!$B:$B,[1]Herbarium_tissue_collected!$D:$D)</f>
        <v>UC685672</v>
      </c>
      <c r="E254" s="3" t="s">
        <v>256</v>
      </c>
      <c r="F254" s="3" t="str">
        <f>_xlfn.XLOOKUP(C254,[1]Herbarium_tissue_collected!$B:$B,[1]Herbarium_tissue_collected!$F:$F)</f>
        <v>giant apical bud</v>
      </c>
      <c r="G254" s="3" t="str">
        <f>_xlfn.XLOOKUP(C254,[1]Herbarium_tissue_collected!$B:$B,[1]Herbarium_tissue_collected!$G:$G)</f>
        <v>yes, cauline with basal morphology</v>
      </c>
      <c r="N254">
        <f>_xlfn.XLOOKUP(C254,[1]Herbarium_tissue_collected!$B:$B,[1]Herbarium_tissue_collected!$E:$E)</f>
        <v>1943</v>
      </c>
      <c r="S254" t="s">
        <v>66</v>
      </c>
    </row>
    <row r="255" spans="1:20" s="6" customFormat="1" x14ac:dyDescent="0.2">
      <c r="A255" s="6" t="s">
        <v>27</v>
      </c>
      <c r="B255" s="6" t="s">
        <v>18</v>
      </c>
      <c r="C255" s="6">
        <v>1368038</v>
      </c>
      <c r="D255" s="7" t="str">
        <f>_xlfn.XLOOKUP(C255,[1]Herbarium_tissue_collected!$B:$B,[1]Herbarium_tissue_collected!$D:$D)</f>
        <v>DAV010561</v>
      </c>
      <c r="E255" s="7" t="s">
        <v>257</v>
      </c>
      <c r="F255" s="7" t="str">
        <f>_xlfn.XLOOKUP(C255,[1]Herbarium_tissue_collected!$B:$B,[1]Herbarium_tissue_collected!$F:$F)</f>
        <v>5 axillary buds</v>
      </c>
      <c r="G255" s="7" t="str">
        <f>_xlfn.XLOOKUP(C255,[1]Herbarium_tissue_collected!$B:$B,[1]Herbarium_tissue_collected!$G:$G)</f>
        <v>yes, cauline w/ intermediate morphology</v>
      </c>
      <c r="H255" s="6" t="s">
        <v>29</v>
      </c>
      <c r="I255" t="s">
        <v>284</v>
      </c>
      <c r="J255"/>
      <c r="N255" s="6">
        <f>_xlfn.XLOOKUP(C255,[1]Herbarium_tissue_collected!$B:$B,[1]Herbarium_tissue_collected!$E:$E)</f>
        <v>1943</v>
      </c>
      <c r="S255" s="6" t="s">
        <v>62</v>
      </c>
      <c r="T255" s="6" t="s">
        <v>65</v>
      </c>
    </row>
    <row r="256" spans="1:20" s="6" customFormat="1" x14ac:dyDescent="0.2">
      <c r="A256" s="6" t="s">
        <v>27</v>
      </c>
      <c r="B256" s="6" t="s">
        <v>18</v>
      </c>
      <c r="C256" s="7">
        <v>2423815</v>
      </c>
      <c r="D256" s="7">
        <f>_xlfn.XLOOKUP(C256,[1]Herbarium_tissue_collected!$B:$B,[1]Herbarium_tissue_collected!$D:$D)</f>
        <v>74252</v>
      </c>
      <c r="E256" s="7">
        <v>74252</v>
      </c>
      <c r="F256" s="7" t="str">
        <f>_xlfn.XLOOKUP(C256,[1]Herbarium_tissue_collected!$B:$B,[1]Herbarium_tissue_collected!$F:$F)</f>
        <v>4 axillary buds</v>
      </c>
      <c r="G256" s="7" t="str">
        <f>_xlfn.XLOOKUP(C256,[1]Herbarium_tissue_collected!$B:$B,[1]Herbarium_tissue_collected!$G:$G)</f>
        <v>yes, cauline with basal morphology</v>
      </c>
      <c r="N256" s="6">
        <f>_xlfn.XLOOKUP(C256,[1]Herbarium_tissue_collected!$B:$B,[1]Herbarium_tissue_collected!$E:$E)</f>
        <v>1943</v>
      </c>
    </row>
    <row r="257" spans="1:20" x14ac:dyDescent="0.2">
      <c r="A257" t="s">
        <v>27</v>
      </c>
      <c r="B257" t="s">
        <v>18</v>
      </c>
      <c r="C257">
        <v>2324177</v>
      </c>
      <c r="D257" s="3">
        <f>_xlfn.XLOOKUP(C257,[1]Herbarium_tissue_collected!$B:$B,[1]Herbarium_tissue_collected!$D:$D)</f>
        <v>74208</v>
      </c>
      <c r="E257" s="3">
        <v>74208</v>
      </c>
      <c r="F257" s="3" t="str">
        <f>_xlfn.XLOOKUP(C257,[1]Herbarium_tissue_collected!$B:$B,[1]Herbarium_tissue_collected!$F:$F)</f>
        <v>1 axillary bud cluster, 1 terminal bud cluster</v>
      </c>
      <c r="G257" s="3" t="str">
        <f>_xlfn.XLOOKUP(C257,[1]Herbarium_tissue_collected!$B:$B,[1]Herbarium_tissue_collected!$G:$G)</f>
        <v>no</v>
      </c>
      <c r="I257" t="s">
        <v>287</v>
      </c>
      <c r="N257">
        <f>_xlfn.XLOOKUP(C257,[1]Herbarium_tissue_collected!$B:$B,[1]Herbarium_tissue_collected!$E:$E)</f>
        <v>1946</v>
      </c>
      <c r="S257" t="s">
        <v>67</v>
      </c>
    </row>
    <row r="258" spans="1:20" x14ac:dyDescent="0.2">
      <c r="A258" t="s">
        <v>27</v>
      </c>
      <c r="B258" t="s">
        <v>18</v>
      </c>
      <c r="C258">
        <v>2390070</v>
      </c>
      <c r="D258" s="3">
        <f>_xlfn.XLOOKUP(C258,[1]Herbarium_tissue_collected!$B:$B,[1]Herbarium_tissue_collected!$D:$D)</f>
        <v>74348</v>
      </c>
      <c r="E258" s="3">
        <v>74348</v>
      </c>
      <c r="F258" s="3" t="str">
        <f>_xlfn.XLOOKUP(C258,[1]Herbarium_tissue_collected!$B:$B,[1]Herbarium_tissue_collected!$F:$F)</f>
        <v>3 large axillary bud cluster</v>
      </c>
      <c r="G258" s="3" t="str">
        <f>_xlfn.XLOOKUP(C258,[1]Herbarium_tissue_collected!$B:$B,[1]Herbarium_tissue_collected!$G:$G)</f>
        <v>yes, basal</v>
      </c>
      <c r="I258" t="s">
        <v>287</v>
      </c>
      <c r="N258">
        <f>_xlfn.XLOOKUP(C258,[1]Herbarium_tissue_collected!$B:$B,[1]Herbarium_tissue_collected!$E:$E)</f>
        <v>1949</v>
      </c>
      <c r="S258" t="s">
        <v>67</v>
      </c>
    </row>
    <row r="259" spans="1:20" x14ac:dyDescent="0.2">
      <c r="A259" t="s">
        <v>27</v>
      </c>
      <c r="B259" t="s">
        <v>18</v>
      </c>
      <c r="D259" s="3">
        <f>_xlfn.XLOOKUP(C259,[1]Herbarium_tissue_collected!$B:$B,[1]Herbarium_tissue_collected!$D:$D)</f>
        <v>0</v>
      </c>
      <c r="E259" s="3">
        <v>0</v>
      </c>
      <c r="F259" s="3">
        <f>_xlfn.XLOOKUP(C259,[1]Herbarium_tissue_collected!$B:$B,[1]Herbarium_tissue_collected!$F:$F)</f>
        <v>0</v>
      </c>
      <c r="G259" s="3">
        <f>_xlfn.XLOOKUP(C259,[1]Herbarium_tissue_collected!$B:$B,[1]Herbarium_tissue_collected!$G:$G)</f>
        <v>0</v>
      </c>
      <c r="N259">
        <f>_xlfn.XLOOKUP(C259,[1]Herbarium_tissue_collected!$B:$B,[1]Herbarium_tissue_collected!$E:$E)</f>
        <v>0</v>
      </c>
    </row>
    <row r="260" spans="1:20" x14ac:dyDescent="0.2">
      <c r="A260" t="s">
        <v>27</v>
      </c>
      <c r="B260" t="s">
        <v>19</v>
      </c>
      <c r="C260">
        <v>2292239</v>
      </c>
      <c r="D260" s="3">
        <f>_xlfn.XLOOKUP(C260,[1]Herbarium_tissue_collected!$B:$B,[1]Herbarium_tissue_collected!$D:$D)</f>
        <v>74194</v>
      </c>
      <c r="E260" s="3">
        <v>74194</v>
      </c>
      <c r="F260" s="3" t="str">
        <f>_xlfn.XLOOKUP(C260,[1]Herbarium_tissue_collected!$B:$B,[1]Herbarium_tissue_collected!$F:$F)</f>
        <v>2 axillary buds, 1 terminal bud cluster</v>
      </c>
      <c r="G260" s="3" t="str">
        <f>_xlfn.XLOOKUP(C260,[1]Herbarium_tissue_collected!$B:$B,[1]Herbarium_tissue_collected!$G:$G)</f>
        <v>yes, basal</v>
      </c>
      <c r="N260">
        <f>_xlfn.XLOOKUP(C260,[1]Herbarium_tissue_collected!$B:$B,[1]Herbarium_tissue_collected!$E:$E)</f>
        <v>1950</v>
      </c>
      <c r="S260" t="s">
        <v>59</v>
      </c>
    </row>
    <row r="261" spans="1:20" x14ac:dyDescent="0.2">
      <c r="A261" t="s">
        <v>27</v>
      </c>
      <c r="B261" t="s">
        <v>19</v>
      </c>
      <c r="C261">
        <v>2270810</v>
      </c>
      <c r="D261" s="3">
        <f>_xlfn.XLOOKUP(C261,[1]Herbarium_tissue_collected!$B:$B,[1]Herbarium_tissue_collected!$D:$D)</f>
        <v>74353</v>
      </c>
      <c r="E261" s="3">
        <v>74353</v>
      </c>
      <c r="F261" s="3" t="str">
        <f>_xlfn.XLOOKUP(C261,[1]Herbarium_tissue_collected!$B:$B,[1]Herbarium_tissue_collected!$F:$F)</f>
        <v>1 large axillary bud, 1 terminal bud cluster</v>
      </c>
      <c r="G261" s="3" t="str">
        <f>_xlfn.XLOOKUP(C261,[1]Herbarium_tissue_collected!$B:$B,[1]Herbarium_tissue_collected!$G:$G)</f>
        <v>yes, cauline with basal morphology</v>
      </c>
      <c r="H261" t="s">
        <v>29</v>
      </c>
      <c r="I261" t="s">
        <v>288</v>
      </c>
      <c r="N261">
        <f>_xlfn.XLOOKUP(C261,[1]Herbarium_tissue_collected!$B:$B,[1]Herbarium_tissue_collected!$E:$E)</f>
        <v>1950</v>
      </c>
      <c r="S261" t="s">
        <v>68</v>
      </c>
    </row>
    <row r="262" spans="1:20" s="6" customFormat="1" x14ac:dyDescent="0.2">
      <c r="A262" s="6" t="s">
        <v>27</v>
      </c>
      <c r="B262" s="6" t="s">
        <v>19</v>
      </c>
      <c r="C262" s="6">
        <v>2334980</v>
      </c>
      <c r="D262" s="7">
        <f>_xlfn.XLOOKUP(C262,[1]Herbarium_tissue_collected!$B:$B,[1]Herbarium_tissue_collected!$D:$D)</f>
        <v>74356</v>
      </c>
      <c r="E262" s="7">
        <v>74356</v>
      </c>
      <c r="F262" s="7" t="str">
        <f>_xlfn.XLOOKUP(C262,[1]Herbarium_tissue_collected!$B:$B,[1]Herbarium_tissue_collected!$F:$F)</f>
        <v>4 axillary buds, 4 terminal bud clusters</v>
      </c>
      <c r="G262" s="7" t="str">
        <f>_xlfn.XLOOKUP(C262,[1]Herbarium_tissue_collected!$B:$B,[1]Herbarium_tissue_collected!$G:$G)</f>
        <v xml:space="preserve">yes, cauline with cauline morphology </v>
      </c>
      <c r="I262" s="6" t="s">
        <v>284</v>
      </c>
      <c r="K262" s="6" t="s">
        <v>294</v>
      </c>
      <c r="N262" s="6">
        <f>_xlfn.XLOOKUP(C262,[1]Herbarium_tissue_collected!$B:$B,[1]Herbarium_tissue_collected!$E:$E)</f>
        <v>1950</v>
      </c>
      <c r="T262" s="6" t="s">
        <v>65</v>
      </c>
    </row>
    <row r="263" spans="1:20" s="6" customFormat="1" x14ac:dyDescent="0.2">
      <c r="A263" s="6" t="s">
        <v>27</v>
      </c>
      <c r="B263" s="6" t="s">
        <v>19</v>
      </c>
      <c r="C263" s="6">
        <v>2450089</v>
      </c>
      <c r="D263" s="7">
        <f>_xlfn.XLOOKUP(C263,[1]Herbarium_tissue_collected!$B:$B,[1]Herbarium_tissue_collected!$D:$D)</f>
        <v>74197</v>
      </c>
      <c r="E263" s="7">
        <v>74197</v>
      </c>
      <c r="F263" s="7" t="str">
        <f>_xlfn.XLOOKUP(C263,[1]Herbarium_tissue_collected!$B:$B,[1]Herbarium_tissue_collected!$F:$F)</f>
        <v>2 axillary buds, 2 bud clusters</v>
      </c>
      <c r="G263" s="7" t="str">
        <f>_xlfn.XLOOKUP(C263,[1]Herbarium_tissue_collected!$B:$B,[1]Herbarium_tissue_collected!$G:$G)</f>
        <v xml:space="preserve">yes, cauline, with cauline morphology </v>
      </c>
      <c r="N263" s="6">
        <f>_xlfn.XLOOKUP(C263,[1]Herbarium_tissue_collected!$B:$B,[1]Herbarium_tissue_collected!$E:$E)</f>
        <v>1950</v>
      </c>
    </row>
    <row r="264" spans="1:20" x14ac:dyDescent="0.2">
      <c r="A264" t="s">
        <v>27</v>
      </c>
      <c r="B264" t="s">
        <v>19</v>
      </c>
      <c r="C264">
        <v>2311342</v>
      </c>
      <c r="D264" s="3">
        <f>_xlfn.XLOOKUP(C264,[1]Herbarium_tissue_collected!$B:$B,[1]Herbarium_tissue_collected!$D:$D)</f>
        <v>74195</v>
      </c>
      <c r="E264" s="3">
        <v>74195</v>
      </c>
      <c r="F264" s="3" t="str">
        <f>_xlfn.XLOOKUP(C264,[1]Herbarium_tissue_collected!$B:$B,[1]Herbarium_tissue_collected!$F:$F)</f>
        <v>4 axillary bud clusters</v>
      </c>
      <c r="G264" s="3" t="str">
        <f>_xlfn.XLOOKUP(C264,[1]Herbarium_tissue_collected!$B:$B,[1]Herbarium_tissue_collected!$G:$G)</f>
        <v>yes, basal</v>
      </c>
      <c r="I264" t="s">
        <v>287</v>
      </c>
      <c r="N264">
        <f>_xlfn.XLOOKUP(C264,[1]Herbarium_tissue_collected!$B:$B,[1]Herbarium_tissue_collected!$E:$E)</f>
        <v>1952</v>
      </c>
      <c r="S264" t="s">
        <v>59</v>
      </c>
    </row>
    <row r="265" spans="1:20" x14ac:dyDescent="0.2">
      <c r="A265" t="s">
        <v>27</v>
      </c>
      <c r="B265" t="s">
        <v>19</v>
      </c>
      <c r="C265">
        <v>2275918</v>
      </c>
      <c r="D265" s="3">
        <f>_xlfn.XLOOKUP(C265,[1]Herbarium_tissue_collected!$B:$B,[1]Herbarium_tissue_collected!$D:$D)</f>
        <v>74350</v>
      </c>
      <c r="E265" s="3">
        <v>74350</v>
      </c>
      <c r="F265" s="3" t="str">
        <f>_xlfn.XLOOKUP(C265,[1]Herbarium_tissue_collected!$B:$B,[1]Herbarium_tissue_collected!$F:$F)</f>
        <v>4 axiallary buds</v>
      </c>
      <c r="G265" s="3" t="str">
        <f>_xlfn.XLOOKUP(C265,[1]Herbarium_tissue_collected!$B:$B,[1]Herbarium_tissue_collected!$G:$G)</f>
        <v>yes, cauline w/ intermediate morphology</v>
      </c>
      <c r="N265">
        <f>_xlfn.XLOOKUP(C265,[1]Herbarium_tissue_collected!$B:$B,[1]Herbarium_tissue_collected!$E:$E)</f>
        <v>1953</v>
      </c>
      <c r="S265" t="s">
        <v>67</v>
      </c>
    </row>
    <row r="266" spans="1:20" x14ac:dyDescent="0.2">
      <c r="A266" t="s">
        <v>27</v>
      </c>
      <c r="B266" t="s">
        <v>19</v>
      </c>
      <c r="C266">
        <v>2380407</v>
      </c>
      <c r="D266" s="3">
        <f>_xlfn.XLOOKUP(C266,[1]Herbarium_tissue_collected!$B:$B,[1]Herbarium_tissue_collected!$D:$D)</f>
        <v>74360</v>
      </c>
      <c r="E266" s="3">
        <v>74360</v>
      </c>
      <c r="F266" s="3" t="str">
        <f>_xlfn.XLOOKUP(C266,[1]Herbarium_tissue_collected!$B:$B,[1]Herbarium_tissue_collected!$F:$F)</f>
        <v>3 axiallary buds</v>
      </c>
      <c r="G266" s="3" t="str">
        <f>_xlfn.XLOOKUP(C266,[1]Herbarium_tissue_collected!$B:$B,[1]Herbarium_tissue_collected!$G:$G)</f>
        <v>yes, cauline w/ intermediate morphology</v>
      </c>
      <c r="I266" t="s">
        <v>287</v>
      </c>
      <c r="N266">
        <f>_xlfn.XLOOKUP(C266,[1]Herbarium_tissue_collected!$B:$B,[1]Herbarium_tissue_collected!$E:$E)</f>
        <v>1954</v>
      </c>
      <c r="S266" t="s">
        <v>48</v>
      </c>
    </row>
    <row r="267" spans="1:20" x14ac:dyDescent="0.2">
      <c r="A267" t="s">
        <v>27</v>
      </c>
      <c r="B267" t="s">
        <v>19</v>
      </c>
      <c r="C267">
        <v>2321963</v>
      </c>
      <c r="D267" s="3">
        <f>_xlfn.XLOOKUP(C267,[1]Herbarium_tissue_collected!$B:$B,[1]Herbarium_tissue_collected!$D:$D)</f>
        <v>74308</v>
      </c>
      <c r="E267" s="3">
        <v>74308</v>
      </c>
      <c r="F267" s="3" t="str">
        <f>_xlfn.XLOOKUP(C267,[1]Herbarium_tissue_collected!$B:$B,[1]Herbarium_tissue_collected!$F:$F)</f>
        <v>3 axillary buds</v>
      </c>
      <c r="G267" s="3" t="str">
        <f>_xlfn.XLOOKUP(C267,[1]Herbarium_tissue_collected!$B:$B,[1]Herbarium_tissue_collected!$G:$G)</f>
        <v>yes, cauline with intermediate morphology</v>
      </c>
      <c r="N267">
        <f>_xlfn.XLOOKUP(C267,[1]Herbarium_tissue_collected!$B:$B,[1]Herbarium_tissue_collected!$E:$E)</f>
        <v>1955</v>
      </c>
      <c r="S267" t="s">
        <v>43</v>
      </c>
    </row>
    <row r="268" spans="1:20" x14ac:dyDescent="0.2">
      <c r="A268" t="s">
        <v>27</v>
      </c>
      <c r="B268" t="s">
        <v>19</v>
      </c>
      <c r="C268">
        <v>2437632</v>
      </c>
      <c r="D268" s="3">
        <f>_xlfn.XLOOKUP(C268,[1]Herbarium_tissue_collected!$B:$B,[1]Herbarium_tissue_collected!$D:$D)</f>
        <v>74321</v>
      </c>
      <c r="E268" s="3">
        <v>74321</v>
      </c>
      <c r="F268" s="3" t="str">
        <f>_xlfn.XLOOKUP(C268,[1]Herbarium_tissue_collected!$B:$B,[1]Herbarium_tissue_collected!$F:$F)</f>
        <v xml:space="preserve">1 large axillary bud, 1 little leaf </v>
      </c>
      <c r="G268" s="3" t="str">
        <f>_xlfn.XLOOKUP(C268,[1]Herbarium_tissue_collected!$B:$B,[1]Herbarium_tissue_collected!$G:$G)</f>
        <v>yes, basal</v>
      </c>
      <c r="I268" t="s">
        <v>284</v>
      </c>
      <c r="N268">
        <f>_xlfn.XLOOKUP(C268,[1]Herbarium_tissue_collected!$B:$B,[1]Herbarium_tissue_collected!$E:$E)</f>
        <v>1956</v>
      </c>
      <c r="S268" t="s">
        <v>59</v>
      </c>
    </row>
    <row r="269" spans="1:20" s="6" customFormat="1" x14ac:dyDescent="0.2">
      <c r="A269" s="6" t="s">
        <v>27</v>
      </c>
      <c r="B269" s="6" t="s">
        <v>19</v>
      </c>
      <c r="C269" s="6">
        <v>2287008</v>
      </c>
      <c r="D269" s="7">
        <f>_xlfn.XLOOKUP(C269,[1]Herbarium_tissue_collected!$B:$B,[1]Herbarium_tissue_collected!$D:$D)</f>
        <v>74320</v>
      </c>
      <c r="E269" s="7">
        <v>74320</v>
      </c>
      <c r="F269" s="7" t="str">
        <f>_xlfn.XLOOKUP(C269,[1]Herbarium_tissue_collected!$B:$B,[1]Herbarium_tissue_collected!$F:$F)</f>
        <v>4 axiallary buds</v>
      </c>
      <c r="G269" s="7" t="str">
        <f>_xlfn.XLOOKUP(C269,[1]Herbarium_tissue_collected!$B:$B,[1]Herbarium_tissue_collected!$G:$G)</f>
        <v>yes, cauline w/ intermediate morphology</v>
      </c>
      <c r="N269" s="6">
        <f>_xlfn.XLOOKUP(C269,[1]Herbarium_tissue_collected!$B:$B,[1]Herbarium_tissue_collected!$E:$E)</f>
        <v>1956</v>
      </c>
      <c r="S269" s="6" t="s">
        <v>59</v>
      </c>
    </row>
    <row r="270" spans="1:20" x14ac:dyDescent="0.2">
      <c r="A270" t="s">
        <v>27</v>
      </c>
      <c r="B270" t="s">
        <v>19</v>
      </c>
      <c r="C270">
        <v>2399359</v>
      </c>
      <c r="D270" s="3">
        <f>_xlfn.XLOOKUP(C270,[1]Herbarium_tissue_collected!$B:$B,[1]Herbarium_tissue_collected!$D:$D)</f>
        <v>74349</v>
      </c>
      <c r="E270" s="3">
        <v>74349</v>
      </c>
      <c r="F270" s="3" t="str">
        <f>_xlfn.XLOOKUP(C270,[1]Herbarium_tissue_collected!$B:$B,[1]Herbarium_tissue_collected!$F:$F)</f>
        <v>3 axillary buds, 1 terminal bud cluster</v>
      </c>
      <c r="G270" s="3" t="str">
        <f>_xlfn.XLOOKUP(C270,[1]Herbarium_tissue_collected!$B:$B,[1]Herbarium_tissue_collected!$G:$G)</f>
        <v>yes, basal</v>
      </c>
      <c r="N270">
        <f>_xlfn.XLOOKUP(C270,[1]Herbarium_tissue_collected!$B:$B,[1]Herbarium_tissue_collected!$E:$E)</f>
        <v>1956</v>
      </c>
      <c r="S270" t="s">
        <v>67</v>
      </c>
    </row>
    <row r="271" spans="1:20" x14ac:dyDescent="0.2">
      <c r="A271" t="s">
        <v>27</v>
      </c>
      <c r="B271" t="s">
        <v>19</v>
      </c>
      <c r="C271">
        <v>2412262</v>
      </c>
      <c r="D271" s="3">
        <f>_xlfn.XLOOKUP(C271,[1]Herbarium_tissue_collected!$B:$B,[1]Herbarium_tissue_collected!$D:$D)</f>
        <v>74328</v>
      </c>
      <c r="E271" s="3">
        <v>74328</v>
      </c>
      <c r="F271" s="3" t="str">
        <f>_xlfn.XLOOKUP(C271,[1]Herbarium_tissue_collected!$B:$B,[1]Herbarium_tissue_collected!$F:$F)</f>
        <v>4 axiallary buds</v>
      </c>
      <c r="G271" s="3" t="str">
        <f>_xlfn.XLOOKUP(C271,[1]Herbarium_tissue_collected!$B:$B,[1]Herbarium_tissue_collected!$G:$G)</f>
        <v>yes, basal</v>
      </c>
      <c r="I271" t="s">
        <v>284</v>
      </c>
      <c r="N271">
        <f>_xlfn.XLOOKUP(C271,[1]Herbarium_tissue_collected!$B:$B,[1]Herbarium_tissue_collected!$E:$E)</f>
        <v>1957</v>
      </c>
      <c r="S271" t="s">
        <v>59</v>
      </c>
      <c r="T271" t="s">
        <v>65</v>
      </c>
    </row>
    <row r="272" spans="1:20" s="6" customFormat="1" x14ac:dyDescent="0.2">
      <c r="A272" s="6" t="s">
        <v>27</v>
      </c>
      <c r="B272" s="6" t="s">
        <v>19</v>
      </c>
      <c r="C272" s="6">
        <v>2316628</v>
      </c>
      <c r="D272" s="7">
        <f>_xlfn.XLOOKUP(C272,[1]Herbarium_tissue_collected!$B:$B,[1]Herbarium_tissue_collected!$D:$D)</f>
        <v>74323</v>
      </c>
      <c r="E272" s="7">
        <v>74323</v>
      </c>
      <c r="F272" s="7" t="str">
        <f>_xlfn.XLOOKUP(C272,[1]Herbarium_tissue_collected!$B:$B,[1]Herbarium_tissue_collected!$F:$F)</f>
        <v>3 terminal  bud clusters</v>
      </c>
      <c r="G272" s="7" t="str">
        <f>_xlfn.XLOOKUP(C272,[1]Herbarium_tissue_collected!$B:$B,[1]Herbarium_tissue_collected!$G:$G)</f>
        <v>yes, basal</v>
      </c>
      <c r="N272" s="6">
        <f>_xlfn.XLOOKUP(C272,[1]Herbarium_tissue_collected!$B:$B,[1]Herbarium_tissue_collected!$E:$E)</f>
        <v>1957</v>
      </c>
      <c r="S272" s="6" t="s">
        <v>59</v>
      </c>
    </row>
    <row r="273" spans="1:20" x14ac:dyDescent="0.2">
      <c r="A273" t="s">
        <v>27</v>
      </c>
      <c r="B273" t="s">
        <v>19</v>
      </c>
      <c r="C273">
        <v>2377415</v>
      </c>
      <c r="D273" s="3">
        <f>_xlfn.XLOOKUP(C273,[1]Herbarium_tissue_collected!$B:$B,[1]Herbarium_tissue_collected!$D:$D)</f>
        <v>74330</v>
      </c>
      <c r="E273" s="3">
        <v>74330</v>
      </c>
      <c r="F273" s="3" t="str">
        <f>_xlfn.XLOOKUP(C273,[1]Herbarium_tissue_collected!$B:$B,[1]Herbarium_tissue_collected!$F:$F)</f>
        <v>3 terminal  bud clusters</v>
      </c>
      <c r="G273" s="3" t="str">
        <f>_xlfn.XLOOKUP(C273,[1]Herbarium_tissue_collected!$B:$B,[1]Herbarium_tissue_collected!$G:$G)</f>
        <v>yes, cauline with intermediate morphology</v>
      </c>
      <c r="N273">
        <f>_xlfn.XLOOKUP(C273,[1]Herbarium_tissue_collected!$B:$B,[1]Herbarium_tissue_collected!$E:$E)</f>
        <v>1958</v>
      </c>
      <c r="S273" t="s">
        <v>59</v>
      </c>
    </row>
    <row r="274" spans="1:20" x14ac:dyDescent="0.2">
      <c r="A274" t="s">
        <v>27</v>
      </c>
      <c r="B274" t="s">
        <v>20</v>
      </c>
      <c r="C274">
        <v>2406304</v>
      </c>
      <c r="D274" s="3">
        <f>_xlfn.XLOOKUP(C274,[1]Herbarium_tissue_collected!$B:$B,[1]Herbarium_tissue_collected!$D:$D)</f>
        <v>74326</v>
      </c>
      <c r="E274" s="3">
        <v>74326</v>
      </c>
      <c r="F274" s="3" t="str">
        <f>_xlfn.XLOOKUP(C274,[1]Herbarium_tissue_collected!$B:$B,[1]Herbarium_tissue_collected!$F:$F)</f>
        <v>3 axiallary buds</v>
      </c>
      <c r="G274" s="3" t="str">
        <f>_xlfn.XLOOKUP(C274,[1]Herbarium_tissue_collected!$B:$B,[1]Herbarium_tissue_collected!$G:$G)</f>
        <v>yes, cauline w/ intermediate morphology</v>
      </c>
      <c r="N274">
        <f>_xlfn.XLOOKUP(C274,[1]Herbarium_tissue_collected!$B:$B,[1]Herbarium_tissue_collected!$E:$E)</f>
        <v>1960</v>
      </c>
      <c r="S274" t="s">
        <v>59</v>
      </c>
    </row>
    <row r="275" spans="1:20" x14ac:dyDescent="0.2">
      <c r="A275" t="s">
        <v>27</v>
      </c>
      <c r="B275" t="s">
        <v>20</v>
      </c>
      <c r="C275">
        <v>2409497</v>
      </c>
      <c r="D275" s="3">
        <f>_xlfn.XLOOKUP(C275,[1]Herbarium_tissue_collected!$B:$B,[1]Herbarium_tissue_collected!$D:$D)</f>
        <v>74291</v>
      </c>
      <c r="E275" s="3">
        <v>74291</v>
      </c>
      <c r="F275" s="3" t="str">
        <f>_xlfn.XLOOKUP(C275,[1]Herbarium_tissue_collected!$B:$B,[1]Herbarium_tissue_collected!$F:$F)</f>
        <v>1 axillary bud, 1 terminal bud cluster</v>
      </c>
      <c r="G275" s="3" t="str">
        <f>_xlfn.XLOOKUP(C275,[1]Herbarium_tissue_collected!$B:$B,[1]Herbarium_tissue_collected!$G:$G)</f>
        <v>yes, basal</v>
      </c>
      <c r="I275" t="s">
        <v>284</v>
      </c>
      <c r="N275">
        <f>_xlfn.XLOOKUP(C275,[1]Herbarium_tissue_collected!$B:$B,[1]Herbarium_tissue_collected!$E:$E)</f>
        <v>1961</v>
      </c>
      <c r="S275" t="s">
        <v>69</v>
      </c>
    </row>
    <row r="276" spans="1:20" s="6" customFormat="1" x14ac:dyDescent="0.2">
      <c r="A276" s="6" t="s">
        <v>27</v>
      </c>
      <c r="B276" s="6" t="s">
        <v>20</v>
      </c>
      <c r="C276" s="7">
        <v>2333212</v>
      </c>
      <c r="D276" s="7">
        <f>_xlfn.XLOOKUP(C276,[1]Herbarium_tissue_collected!$B:$B,[1]Herbarium_tissue_collected!$D:$D)</f>
        <v>74290</v>
      </c>
      <c r="E276" s="7">
        <v>74290</v>
      </c>
      <c r="F276" s="7" t="str">
        <f>_xlfn.XLOOKUP(C276,[1]Herbarium_tissue_collected!$B:$B,[1]Herbarium_tissue_collected!$F:$F)</f>
        <v>3 axillary bud clusters</v>
      </c>
      <c r="G276" s="7" t="str">
        <f>_xlfn.XLOOKUP(C276,[1]Herbarium_tissue_collected!$B:$B,[1]Herbarium_tissue_collected!$G:$G)</f>
        <v xml:space="preserve">yes, cauline with basal morphology </v>
      </c>
      <c r="N276" s="6">
        <f>_xlfn.XLOOKUP(C276,[1]Herbarium_tissue_collected!$B:$B,[1]Herbarium_tissue_collected!$E:$E)</f>
        <v>1961</v>
      </c>
    </row>
    <row r="277" spans="1:20" x14ac:dyDescent="0.2">
      <c r="A277" t="s">
        <v>27</v>
      </c>
      <c r="B277" t="s">
        <v>20</v>
      </c>
      <c r="C277">
        <v>5504863</v>
      </c>
      <c r="D277" s="3">
        <f>_xlfn.XLOOKUP(C277,[1]Herbarium_tissue_collected!$B:$B,[1]Herbarium_tissue_collected!$D:$D)</f>
        <v>684502</v>
      </c>
      <c r="E277" s="3">
        <v>684502</v>
      </c>
      <c r="F277" s="3" t="str">
        <f>_xlfn.XLOOKUP(C277,[1]Herbarium_tissue_collected!$B:$B,[1]Herbarium_tissue_collected!$F:$F)</f>
        <v>3 axillary buds</v>
      </c>
      <c r="G277" s="3" t="str">
        <f>_xlfn.XLOOKUP(C277,[1]Herbarium_tissue_collected!$B:$B,[1]Herbarium_tissue_collected!$G:$G)</f>
        <v xml:space="preserve">yes, basal </v>
      </c>
      <c r="N277">
        <f>_xlfn.XLOOKUP(C277,[1]Herbarium_tissue_collected!$B:$B,[1]Herbarium_tissue_collected!$E:$E)</f>
        <v>1962</v>
      </c>
      <c r="S277" t="s">
        <v>70</v>
      </c>
    </row>
    <row r="278" spans="1:20" x14ac:dyDescent="0.2">
      <c r="A278" t="s">
        <v>27</v>
      </c>
      <c r="B278" t="s">
        <v>20</v>
      </c>
      <c r="C278">
        <v>2388759</v>
      </c>
      <c r="D278" s="3">
        <f>_xlfn.XLOOKUP(C278,[1]Herbarium_tissue_collected!$B:$B,[1]Herbarium_tissue_collected!$D:$D)</f>
        <v>74306</v>
      </c>
      <c r="E278" s="3">
        <v>74306</v>
      </c>
      <c r="F278" s="3" t="str">
        <f>_xlfn.XLOOKUP(C278,[1]Herbarium_tissue_collected!$B:$B,[1]Herbarium_tissue_collected!$F:$F)</f>
        <v>2 axillary buds, 2 little leaves</v>
      </c>
      <c r="G278" s="3" t="str">
        <f>_xlfn.XLOOKUP(C278,[1]Herbarium_tissue_collected!$B:$B,[1]Herbarium_tissue_collected!$G:$G)</f>
        <v>yes, cauline with basal morphology</v>
      </c>
      <c r="I278" t="s">
        <v>287</v>
      </c>
      <c r="N278">
        <f>_xlfn.XLOOKUP(C278,[1]Herbarium_tissue_collected!$B:$B,[1]Herbarium_tissue_collected!$E:$E)</f>
        <v>1963</v>
      </c>
      <c r="S278" t="s">
        <v>43</v>
      </c>
    </row>
    <row r="279" spans="1:20" x14ac:dyDescent="0.2">
      <c r="A279" t="s">
        <v>27</v>
      </c>
      <c r="B279" t="s">
        <v>20</v>
      </c>
      <c r="C279">
        <v>5569677</v>
      </c>
      <c r="D279" s="3">
        <f>_xlfn.XLOOKUP(C279,[1]Herbarium_tissue_collected!$B:$B,[1]Herbarium_tissue_collected!$D:$D)</f>
        <v>684520</v>
      </c>
      <c r="E279" s="3">
        <v>684520</v>
      </c>
      <c r="F279" s="3" t="str">
        <f>_xlfn.XLOOKUP(C279,[1]Herbarium_tissue_collected!$B:$B,[1]Herbarium_tissue_collected!$F:$F)</f>
        <v xml:space="preserve">2 big bud clusters </v>
      </c>
      <c r="G279" s="3" t="str">
        <f>_xlfn.XLOOKUP(C279,[1]Herbarium_tissue_collected!$B:$B,[1]Herbarium_tissue_collected!$G:$G)</f>
        <v>yes, basal</v>
      </c>
      <c r="N279">
        <f>_xlfn.XLOOKUP(C279,[1]Herbarium_tissue_collected!$B:$B,[1]Herbarium_tissue_collected!$E:$E)</f>
        <v>1964</v>
      </c>
      <c r="S279" t="s">
        <v>70</v>
      </c>
    </row>
    <row r="280" spans="1:20" x14ac:dyDescent="0.2">
      <c r="A280" t="s">
        <v>27</v>
      </c>
      <c r="B280" t="s">
        <v>20</v>
      </c>
      <c r="C280">
        <v>5504872</v>
      </c>
      <c r="D280" s="3">
        <f>_xlfn.XLOOKUP(C280,[1]Herbarium_tissue_collected!$B:$B,[1]Herbarium_tissue_collected!$D:$D)</f>
        <v>684511</v>
      </c>
      <c r="E280" s="3">
        <v>684511</v>
      </c>
      <c r="F280" s="3" t="str">
        <f>_xlfn.XLOOKUP(C280,[1]Herbarium_tissue_collected!$B:$B,[1]Herbarium_tissue_collected!$F:$F)</f>
        <v>4 axillary buds</v>
      </c>
      <c r="G280" s="3" t="str">
        <f>_xlfn.XLOOKUP(C280,[1]Herbarium_tissue_collected!$B:$B,[1]Herbarium_tissue_collected!$G:$G)</f>
        <v>yes, basal</v>
      </c>
      <c r="H280" t="s">
        <v>29</v>
      </c>
      <c r="I280" t="s">
        <v>284</v>
      </c>
      <c r="N280">
        <f>_xlfn.XLOOKUP(C280,[1]Herbarium_tissue_collected!$B:$B,[1]Herbarium_tissue_collected!$E:$E)</f>
        <v>1966</v>
      </c>
      <c r="S280" t="s">
        <v>72</v>
      </c>
      <c r="T280" t="s">
        <v>65</v>
      </c>
    </row>
    <row r="281" spans="1:20" s="6" customFormat="1" x14ac:dyDescent="0.2">
      <c r="A281" s="6" t="s">
        <v>27</v>
      </c>
      <c r="B281" s="6" t="s">
        <v>20</v>
      </c>
      <c r="C281" s="6">
        <v>5504864</v>
      </c>
      <c r="D281" s="7">
        <f>_xlfn.XLOOKUP(C281,[1]Herbarium_tissue_collected!$B:$B,[1]Herbarium_tissue_collected!$D:$D)</f>
        <v>684503</v>
      </c>
      <c r="E281" s="7">
        <v>684503</v>
      </c>
      <c r="F281" s="7" t="str">
        <f>_xlfn.XLOOKUP(C281,[1]Herbarium_tissue_collected!$B:$B,[1]Herbarium_tissue_collected!$F:$F)</f>
        <v>3 axillary buds</v>
      </c>
      <c r="G281" s="7" t="str">
        <f>_xlfn.XLOOKUP(C281,[1]Herbarium_tissue_collected!$B:$B,[1]Herbarium_tissue_collected!$G:$G)</f>
        <v xml:space="preserve">yes, basal </v>
      </c>
      <c r="N281" s="6">
        <f>_xlfn.XLOOKUP(C281,[1]Herbarium_tissue_collected!$B:$B,[1]Herbarium_tissue_collected!$E:$E)</f>
        <v>1966</v>
      </c>
      <c r="S281" s="6" t="s">
        <v>70</v>
      </c>
    </row>
    <row r="282" spans="1:20" s="6" customFormat="1" x14ac:dyDescent="0.2">
      <c r="A282" s="6" t="s">
        <v>27</v>
      </c>
      <c r="B282" s="6" t="s">
        <v>20</v>
      </c>
      <c r="C282" s="6">
        <v>5569679</v>
      </c>
      <c r="D282" s="7">
        <f>_xlfn.XLOOKUP(C282,[1]Herbarium_tissue_collected!$B:$B,[1]Herbarium_tissue_collected!$D:$D)</f>
        <v>684522</v>
      </c>
      <c r="E282" s="7">
        <v>684522</v>
      </c>
      <c r="F282" s="7" t="str">
        <f>_xlfn.XLOOKUP(C282,[1]Herbarium_tissue_collected!$B:$B,[1]Herbarium_tissue_collected!$F:$F)</f>
        <v>3 bud clusters</v>
      </c>
      <c r="G282" s="7" t="str">
        <f>_xlfn.XLOOKUP(C282,[1]Herbarium_tissue_collected!$B:$B,[1]Herbarium_tissue_collected!$G:$G)</f>
        <v xml:space="preserve">yes, basal </v>
      </c>
      <c r="N282" s="6">
        <f>_xlfn.XLOOKUP(C282,[1]Herbarium_tissue_collected!$B:$B,[1]Herbarium_tissue_collected!$E:$E)</f>
        <v>1966</v>
      </c>
      <c r="S282" s="6" t="s">
        <v>70</v>
      </c>
    </row>
    <row r="283" spans="1:20" s="6" customFormat="1" x14ac:dyDescent="0.2">
      <c r="A283" s="6" t="s">
        <v>27</v>
      </c>
      <c r="B283" s="6" t="s">
        <v>20</v>
      </c>
      <c r="C283" s="6">
        <v>5569678</v>
      </c>
      <c r="D283" s="7">
        <f>_xlfn.XLOOKUP(C283,[1]Herbarium_tissue_collected!$B:$B,[1]Herbarium_tissue_collected!$D:$D)</f>
        <v>684521</v>
      </c>
      <c r="E283" s="7">
        <v>684521</v>
      </c>
      <c r="F283" s="7" t="str">
        <f>_xlfn.XLOOKUP(C283,[1]Herbarium_tissue_collected!$B:$B,[1]Herbarium_tissue_collected!$F:$F)</f>
        <v xml:space="preserve">3 bud clusters, a few loose buds </v>
      </c>
      <c r="G283" s="7" t="str">
        <f>_xlfn.XLOOKUP(C283,[1]Herbarium_tissue_collected!$B:$B,[1]Herbarium_tissue_collected!$G:$G)</f>
        <v>yes, basal</v>
      </c>
      <c r="N283" s="6">
        <f>_xlfn.XLOOKUP(C283,[1]Herbarium_tissue_collected!$B:$B,[1]Herbarium_tissue_collected!$E:$E)</f>
        <v>1966</v>
      </c>
      <c r="S283" s="6" t="s">
        <v>70</v>
      </c>
    </row>
    <row r="284" spans="1:20" x14ac:dyDescent="0.2">
      <c r="A284" t="s">
        <v>27</v>
      </c>
      <c r="B284" t="s">
        <v>20</v>
      </c>
      <c r="C284">
        <v>3428915</v>
      </c>
      <c r="D284" s="3" t="str">
        <f>_xlfn.XLOOKUP(C284,[1]Herbarium_tissue_collected!$B:$B,[1]Herbarium_tissue_collected!$D:$D)</f>
        <v>UC1327247</v>
      </c>
      <c r="E284" s="3" t="s">
        <v>258</v>
      </c>
      <c r="F284" s="3" t="str">
        <f>_xlfn.XLOOKUP(C284,[1]Herbarium_tissue_collected!$B:$B,[1]Herbarium_tissue_collected!$F:$F)</f>
        <v>2 bud clusters</v>
      </c>
      <c r="G284" s="3" t="str">
        <f>_xlfn.XLOOKUP(C284,[1]Herbarium_tissue_collected!$B:$B,[1]Herbarium_tissue_collected!$G:$G)</f>
        <v>yes, cauline with basal morphology</v>
      </c>
      <c r="N284">
        <f>_xlfn.XLOOKUP(C284,[1]Herbarium_tissue_collected!$B:$B,[1]Herbarium_tissue_collected!$E:$E)</f>
        <v>1966</v>
      </c>
      <c r="S284" t="s">
        <v>71</v>
      </c>
    </row>
    <row r="285" spans="1:20" x14ac:dyDescent="0.2">
      <c r="A285" t="s">
        <v>27</v>
      </c>
      <c r="B285" t="s">
        <v>20</v>
      </c>
      <c r="C285">
        <v>5569674</v>
      </c>
      <c r="D285" s="3">
        <f>_xlfn.XLOOKUP(C285,[1]Herbarium_tissue_collected!$B:$B,[1]Herbarium_tissue_collected!$D:$D)</f>
        <v>684517</v>
      </c>
      <c r="E285" s="3">
        <v>684517</v>
      </c>
      <c r="F285" s="3" t="str">
        <f>_xlfn.XLOOKUP(C285,[1]Herbarium_tissue_collected!$B:$B,[1]Herbarium_tissue_collected!$F:$F)</f>
        <v>3 axillary buds</v>
      </c>
      <c r="G285" s="3" t="str">
        <f>_xlfn.XLOOKUP(C285,[1]Herbarium_tissue_collected!$B:$B,[1]Herbarium_tissue_collected!$G:$G)</f>
        <v>yes, basal</v>
      </c>
      <c r="I285" t="s">
        <v>284</v>
      </c>
      <c r="N285">
        <f>_xlfn.XLOOKUP(C285,[1]Herbarium_tissue_collected!$B:$B,[1]Herbarium_tissue_collected!$E:$E)</f>
        <v>1967</v>
      </c>
      <c r="S285" t="s">
        <v>73</v>
      </c>
    </row>
    <row r="286" spans="1:20" s="6" customFormat="1" x14ac:dyDescent="0.2">
      <c r="A286" s="6" t="s">
        <v>27</v>
      </c>
      <c r="B286" s="6" t="s">
        <v>20</v>
      </c>
      <c r="C286" s="6">
        <v>2414047</v>
      </c>
      <c r="D286" s="7">
        <f>_xlfn.XLOOKUP(C286,[1]Herbarium_tissue_collected!$B:$B,[1]Herbarium_tissue_collected!$D:$D)</f>
        <v>74255</v>
      </c>
      <c r="E286" s="7">
        <v>74255</v>
      </c>
      <c r="F286" s="7" t="str">
        <f>_xlfn.XLOOKUP(C286,[1]Herbarium_tissue_collected!$B:$B,[1]Herbarium_tissue_collected!$F:$F)</f>
        <v>3 axillary buds, 1 terminal bud cluster</v>
      </c>
      <c r="G286" s="7" t="str">
        <f>_xlfn.XLOOKUP(C286,[1]Herbarium_tissue_collected!$B:$B,[1]Herbarium_tissue_collected!$G:$G)</f>
        <v>yes, cauline with intermediate morphology</v>
      </c>
      <c r="N286" s="6">
        <f>_xlfn.XLOOKUP(C286,[1]Herbarium_tissue_collected!$B:$B,[1]Herbarium_tissue_collected!$E:$E)</f>
        <v>1967</v>
      </c>
      <c r="S286" s="6" t="s">
        <v>74</v>
      </c>
    </row>
    <row r="287" spans="1:20" x14ac:dyDescent="0.2">
      <c r="A287" t="s">
        <v>27</v>
      </c>
      <c r="B287" t="s">
        <v>20</v>
      </c>
      <c r="C287">
        <v>2328064</v>
      </c>
      <c r="D287" s="3">
        <f>_xlfn.XLOOKUP(C287,[1]Herbarium_tissue_collected!$B:$B,[1]Herbarium_tissue_collected!$D:$D)</f>
        <v>74256</v>
      </c>
      <c r="E287" s="3">
        <v>74256</v>
      </c>
      <c r="F287" s="3" t="str">
        <f>_xlfn.XLOOKUP(C287,[1]Herbarium_tissue_collected!$B:$B,[1]Herbarium_tissue_collected!$F:$F)</f>
        <v>4 axillary buds, 1 little leaf</v>
      </c>
      <c r="G287" s="3" t="str">
        <f>_xlfn.XLOOKUP(C287,[1]Herbarium_tissue_collected!$B:$B,[1]Herbarium_tissue_collected!$G:$G)</f>
        <v>yes, cauline with basal morphology</v>
      </c>
      <c r="I287" t="s">
        <v>284</v>
      </c>
      <c r="K287" t="s">
        <v>286</v>
      </c>
      <c r="N287">
        <f>_xlfn.XLOOKUP(C287,[1]Herbarium_tissue_collected!$B:$B,[1]Herbarium_tissue_collected!$E:$E)</f>
        <v>1968</v>
      </c>
      <c r="S287" t="s">
        <v>75</v>
      </c>
    </row>
    <row r="288" spans="1:20" s="6" customFormat="1" x14ac:dyDescent="0.2">
      <c r="A288" s="6" t="s">
        <v>27</v>
      </c>
      <c r="B288" s="6" t="s">
        <v>20</v>
      </c>
      <c r="C288" s="6">
        <v>2290954</v>
      </c>
      <c r="D288" s="7">
        <f>_xlfn.XLOOKUP(C288,[1]Herbarium_tissue_collected!$B:$B,[1]Herbarium_tissue_collected!$D:$D)</f>
        <v>74257</v>
      </c>
      <c r="E288" s="7">
        <v>74257</v>
      </c>
      <c r="F288" s="7" t="str">
        <f>_xlfn.XLOOKUP(C288,[1]Herbarium_tissue_collected!$B:$B,[1]Herbarium_tissue_collected!$F:$F)</f>
        <v>3 axillary buds</v>
      </c>
      <c r="G288" s="7" t="str">
        <f>_xlfn.XLOOKUP(C288,[1]Herbarium_tissue_collected!$B:$B,[1]Herbarium_tissue_collected!$G:$G)</f>
        <v>yes, cauline with basal morphology</v>
      </c>
      <c r="N288" s="6">
        <f>_xlfn.XLOOKUP(C288,[1]Herbarium_tissue_collected!$B:$B,[1]Herbarium_tissue_collected!$E:$E)</f>
        <v>1968</v>
      </c>
    </row>
    <row r="289" spans="1:20" x14ac:dyDescent="0.2">
      <c r="A289" t="s">
        <v>27</v>
      </c>
      <c r="B289" t="s">
        <v>20</v>
      </c>
      <c r="C289">
        <v>2290218</v>
      </c>
      <c r="D289" s="3">
        <f>_xlfn.XLOOKUP(C289,[1]Herbarium_tissue_collected!$B:$B,[1]Herbarium_tissue_collected!$D:$D)</f>
        <v>74286</v>
      </c>
      <c r="E289" s="3">
        <v>74286</v>
      </c>
      <c r="F289" s="3" t="str">
        <f>_xlfn.XLOOKUP(C289,[1]Herbarium_tissue_collected!$B:$B,[1]Herbarium_tissue_collected!$F:$F)</f>
        <v>2 terminal bud clusters</v>
      </c>
      <c r="G289" s="3" t="str">
        <f>_xlfn.XLOOKUP(C289,[1]Herbarium_tissue_collected!$B:$B,[1]Herbarium_tissue_collected!$G:$G)</f>
        <v>yes, basal</v>
      </c>
      <c r="N289">
        <f>_xlfn.XLOOKUP(C289,[1]Herbarium_tissue_collected!$B:$B,[1]Herbarium_tissue_collected!$E:$E)</f>
        <v>1969</v>
      </c>
    </row>
    <row r="290" spans="1:20" x14ac:dyDescent="0.2">
      <c r="A290" t="s">
        <v>27</v>
      </c>
      <c r="B290" t="s">
        <v>21</v>
      </c>
      <c r="C290">
        <v>5504865</v>
      </c>
      <c r="D290" s="3">
        <f>_xlfn.XLOOKUP(C290,[1]Herbarium_tissue_collected!$B:$B,[1]Herbarium_tissue_collected!$D:$D)</f>
        <v>684504</v>
      </c>
      <c r="E290" s="3">
        <v>684504</v>
      </c>
      <c r="F290" s="3" t="str">
        <f>_xlfn.XLOOKUP(C290,[1]Herbarium_tissue_collected!$B:$B,[1]Herbarium_tissue_collected!$F:$F)</f>
        <v>3 axillary buds</v>
      </c>
      <c r="G290" s="3" t="str">
        <f>_xlfn.XLOOKUP(C290,[1]Herbarium_tissue_collected!$B:$B,[1]Herbarium_tissue_collected!$G:$G)</f>
        <v xml:space="preserve">yes, basal </v>
      </c>
      <c r="N290">
        <f>_xlfn.XLOOKUP(C290,[1]Herbarium_tissue_collected!$B:$B,[1]Herbarium_tissue_collected!$E:$E)</f>
        <v>1970</v>
      </c>
      <c r="S290" t="s">
        <v>74</v>
      </c>
      <c r="T290" t="s">
        <v>76</v>
      </c>
    </row>
    <row r="291" spans="1:20" x14ac:dyDescent="0.2">
      <c r="A291" t="s">
        <v>27</v>
      </c>
      <c r="B291" t="s">
        <v>21</v>
      </c>
      <c r="C291">
        <v>5504866</v>
      </c>
      <c r="D291" s="3">
        <f>_xlfn.XLOOKUP(C291,[1]Herbarium_tissue_collected!$B:$B,[1]Herbarium_tissue_collected!$D:$D)</f>
        <v>684505</v>
      </c>
      <c r="E291" s="3">
        <v>684505</v>
      </c>
      <c r="F291" s="3" t="str">
        <f>_xlfn.XLOOKUP(C291,[1]Herbarium_tissue_collected!$B:$B,[1]Herbarium_tissue_collected!$F:$F)</f>
        <v xml:space="preserve">2 large axillary </v>
      </c>
      <c r="G291" s="3" t="str">
        <f>_xlfn.XLOOKUP(C291,[1]Herbarium_tissue_collected!$B:$B,[1]Herbarium_tissue_collected!$G:$G)</f>
        <v>yes, basal</v>
      </c>
      <c r="N291">
        <f>_xlfn.XLOOKUP(C291,[1]Herbarium_tissue_collected!$B:$B,[1]Herbarium_tissue_collected!$E:$E)</f>
        <v>1971</v>
      </c>
      <c r="S291" t="s">
        <v>70</v>
      </c>
    </row>
    <row r="292" spans="1:20" x14ac:dyDescent="0.2">
      <c r="A292" t="s">
        <v>27</v>
      </c>
      <c r="B292" t="s">
        <v>21</v>
      </c>
      <c r="C292">
        <v>5569852</v>
      </c>
      <c r="D292" s="3">
        <f>_xlfn.XLOOKUP(C292,[1]Herbarium_tissue_collected!$B:$B,[1]Herbarium_tissue_collected!$D:$D)</f>
        <v>685180</v>
      </c>
      <c r="E292" s="3">
        <v>685180</v>
      </c>
      <c r="F292" s="3" t="str">
        <f>_xlfn.XLOOKUP(C292,[1]Herbarium_tissue_collected!$B:$B,[1]Herbarium_tissue_collected!$F:$F)</f>
        <v>3 axillary bud, 1 terminal</v>
      </c>
      <c r="G292" s="3" t="str">
        <f>_xlfn.XLOOKUP(C292,[1]Herbarium_tissue_collected!$B:$B,[1]Herbarium_tissue_collected!$G:$G)</f>
        <v>yes, basal</v>
      </c>
      <c r="I292" t="s">
        <v>284</v>
      </c>
      <c r="N292">
        <f>_xlfn.XLOOKUP(C292,[1]Herbarium_tissue_collected!$B:$B,[1]Herbarium_tissue_collected!$E:$E)</f>
        <v>1972</v>
      </c>
      <c r="S292" t="s">
        <v>77</v>
      </c>
    </row>
    <row r="293" spans="1:20" s="6" customFormat="1" x14ac:dyDescent="0.2">
      <c r="A293" s="6" t="s">
        <v>27</v>
      </c>
      <c r="B293" s="6" t="s">
        <v>21</v>
      </c>
      <c r="C293" s="6">
        <v>5569853</v>
      </c>
      <c r="D293" s="7">
        <f>_xlfn.XLOOKUP(C293,[1]Herbarium_tissue_collected!$B:$B,[1]Herbarium_tissue_collected!$D:$D)</f>
        <v>685181</v>
      </c>
      <c r="E293" s="7">
        <v>685181</v>
      </c>
      <c r="F293" s="7" t="str">
        <f>_xlfn.XLOOKUP(C293,[1]Herbarium_tissue_collected!$B:$B,[1]Herbarium_tissue_collected!$F:$F)</f>
        <v>3 axiallary buds</v>
      </c>
      <c r="G293" s="7" t="str">
        <f>_xlfn.XLOOKUP(C293,[1]Herbarium_tissue_collected!$B:$B,[1]Herbarium_tissue_collected!$G:$G)</f>
        <v>yes, basal</v>
      </c>
      <c r="N293" s="6">
        <f>_xlfn.XLOOKUP(C293,[1]Herbarium_tissue_collected!$B:$B,[1]Herbarium_tissue_collected!$E:$E)</f>
        <v>1972</v>
      </c>
    </row>
    <row r="294" spans="1:20" x14ac:dyDescent="0.2">
      <c r="A294" t="s">
        <v>27</v>
      </c>
      <c r="B294" t="s">
        <v>21</v>
      </c>
      <c r="C294">
        <v>5504868</v>
      </c>
      <c r="D294" s="3">
        <f>_xlfn.XLOOKUP(C294,[1]Herbarium_tissue_collected!$B:$B,[1]Herbarium_tissue_collected!$D:$D)</f>
        <v>684507</v>
      </c>
      <c r="E294" s="3">
        <v>684507</v>
      </c>
      <c r="F294" s="3" t="str">
        <f>_xlfn.XLOOKUP(C294,[1]Herbarium_tissue_collected!$B:$B,[1]Herbarium_tissue_collected!$F:$F)</f>
        <v>4 axiallary buds</v>
      </c>
      <c r="G294" s="3" t="str">
        <f>_xlfn.XLOOKUP(C294,[1]Herbarium_tissue_collected!$B:$B,[1]Herbarium_tissue_collected!$G:$G)</f>
        <v>yes, cauline with intermediate morphology</v>
      </c>
      <c r="N294">
        <f>_xlfn.XLOOKUP(C294,[1]Herbarium_tissue_collected!$B:$B,[1]Herbarium_tissue_collected!$E:$E)</f>
        <v>1973</v>
      </c>
    </row>
    <row r="295" spans="1:20" x14ac:dyDescent="0.2">
      <c r="A295" t="s">
        <v>27</v>
      </c>
      <c r="B295" t="s">
        <v>21</v>
      </c>
      <c r="C295">
        <v>2395241</v>
      </c>
      <c r="D295" s="3">
        <f>_xlfn.XLOOKUP(C295,[1]Herbarium_tissue_collected!$B:$B,[1]Herbarium_tissue_collected!$D:$D)</f>
        <v>74351</v>
      </c>
      <c r="E295" s="3">
        <v>74351</v>
      </c>
      <c r="F295" s="3" t="str">
        <f>_xlfn.XLOOKUP(C295,[1]Herbarium_tissue_collected!$B:$B,[1]Herbarium_tissue_collected!$F:$F)</f>
        <v>3 axillary bud, 1 little leaf</v>
      </c>
      <c r="G295" s="3" t="str">
        <f>_xlfn.XLOOKUP(C295,[1]Herbarium_tissue_collected!$B:$B,[1]Herbarium_tissue_collected!$G:$G)</f>
        <v>yes, cauline with basal morphology</v>
      </c>
      <c r="N295">
        <f>_xlfn.XLOOKUP(C295,[1]Herbarium_tissue_collected!$B:$B,[1]Herbarium_tissue_collected!$E:$E)</f>
        <v>1974</v>
      </c>
      <c r="S295" t="s">
        <v>78</v>
      </c>
    </row>
    <row r="296" spans="1:20" x14ac:dyDescent="0.2">
      <c r="A296" t="s">
        <v>27</v>
      </c>
      <c r="B296" t="s">
        <v>21</v>
      </c>
      <c r="C296">
        <v>5504870</v>
      </c>
      <c r="D296" s="3">
        <f>_xlfn.XLOOKUP(C296,[1]Herbarium_tissue_collected!$B:$B,[1]Herbarium_tissue_collected!$D:$D)</f>
        <v>684509</v>
      </c>
      <c r="E296" s="3">
        <v>684509</v>
      </c>
      <c r="F296" s="3" t="str">
        <f>_xlfn.XLOOKUP(C296,[1]Herbarium_tissue_collected!$B:$B,[1]Herbarium_tissue_collected!$F:$F)</f>
        <v>2 axillary bud</v>
      </c>
      <c r="G296" s="3" t="str">
        <f>_xlfn.XLOOKUP(C296,[1]Herbarium_tissue_collected!$B:$B,[1]Herbarium_tissue_collected!$G:$G)</f>
        <v>yes, basal</v>
      </c>
      <c r="N296">
        <f>_xlfn.XLOOKUP(C296,[1]Herbarium_tissue_collected!$B:$B,[1]Herbarium_tissue_collected!$E:$E)</f>
        <v>1975</v>
      </c>
      <c r="S296" t="s">
        <v>79</v>
      </c>
    </row>
    <row r="297" spans="1:20" x14ac:dyDescent="0.2">
      <c r="A297" t="s">
        <v>27</v>
      </c>
      <c r="B297" t="s">
        <v>22</v>
      </c>
      <c r="C297">
        <v>5569681</v>
      </c>
      <c r="D297" s="3">
        <f>_xlfn.XLOOKUP(C297,[1]Herbarium_tissue_collected!$B:$B,[1]Herbarium_tissue_collected!$D:$D)</f>
        <v>684524</v>
      </c>
      <c r="E297" s="3">
        <v>684524</v>
      </c>
      <c r="F297" s="3" t="str">
        <f>_xlfn.XLOOKUP(C297,[1]Herbarium_tissue_collected!$B:$B,[1]Herbarium_tissue_collected!$F:$F)</f>
        <v>3 axillary buds</v>
      </c>
      <c r="G297" s="3" t="str">
        <f>_xlfn.XLOOKUP(C297,[1]Herbarium_tissue_collected!$B:$B,[1]Herbarium_tissue_collected!$G:$G)</f>
        <v>yes, basal</v>
      </c>
      <c r="N297">
        <f>_xlfn.XLOOKUP(C297,[1]Herbarium_tissue_collected!$B:$B,[1]Herbarium_tissue_collected!$E:$E)</f>
        <v>1982</v>
      </c>
    </row>
    <row r="298" spans="1:20" x14ac:dyDescent="0.2">
      <c r="A298" t="s">
        <v>27</v>
      </c>
      <c r="B298" t="s">
        <v>22</v>
      </c>
      <c r="C298">
        <v>4064454</v>
      </c>
      <c r="D298" s="3" t="str">
        <f>_xlfn.XLOOKUP(C298,[1]Herbarium_tissue_collected!$B:$B,[1]Herbarium_tissue_collected!$D:$D)</f>
        <v>UCSC100000696</v>
      </c>
      <c r="E298" s="3" t="s">
        <v>259</v>
      </c>
      <c r="F298" s="3" t="str">
        <f>_xlfn.XLOOKUP(C298,[1]Herbarium_tissue_collected!$B:$B,[1]Herbarium_tissue_collected!$F:$F)</f>
        <v>bud clusters</v>
      </c>
      <c r="G298" s="3" t="str">
        <f>_xlfn.XLOOKUP(C298,[1]Herbarium_tissue_collected!$B:$B,[1]Herbarium_tissue_collected!$G:$G)</f>
        <v>yes, cauline with basal morphology</v>
      </c>
      <c r="I298" t="s">
        <v>284</v>
      </c>
      <c r="K298" t="s">
        <v>29</v>
      </c>
      <c r="N298">
        <f>_xlfn.XLOOKUP(C298,[1]Herbarium_tissue_collected!$B:$B,[1]Herbarium_tissue_collected!$E:$E)</f>
        <v>1983</v>
      </c>
      <c r="S298" t="s">
        <v>48</v>
      </c>
    </row>
    <row r="299" spans="1:20" x14ac:dyDescent="0.2">
      <c r="A299" t="s">
        <v>27</v>
      </c>
      <c r="B299" t="s">
        <v>22</v>
      </c>
      <c r="C299">
        <v>5043016</v>
      </c>
      <c r="D299" s="3">
        <f>_xlfn.XLOOKUP(C299,[1]Herbarium_tissue_collected!$B:$B,[1]Herbarium_tissue_collected!$D:$D)</f>
        <v>656433</v>
      </c>
      <c r="E299" s="3">
        <v>656433</v>
      </c>
      <c r="F299" s="3" t="str">
        <f>_xlfn.XLOOKUP(C299,[1]Herbarium_tissue_collected!$B:$B,[1]Herbarium_tissue_collected!$F:$F)</f>
        <v>3 axillary buds</v>
      </c>
      <c r="G299" s="3" t="str">
        <f>_xlfn.XLOOKUP(C299,[1]Herbarium_tissue_collected!$B:$B,[1]Herbarium_tissue_collected!$G:$G)</f>
        <v>yes, cauline with intermediate morphology</v>
      </c>
      <c r="N299">
        <f>_xlfn.XLOOKUP(C299,[1]Herbarium_tissue_collected!$B:$B,[1]Herbarium_tissue_collected!$E:$E)</f>
        <v>1984</v>
      </c>
      <c r="S299" t="s">
        <v>79</v>
      </c>
    </row>
    <row r="300" spans="1:20" x14ac:dyDescent="0.2">
      <c r="A300" t="s">
        <v>27</v>
      </c>
      <c r="B300" t="s">
        <v>22</v>
      </c>
      <c r="C300">
        <v>2369553</v>
      </c>
      <c r="D300" s="3">
        <f>_xlfn.XLOOKUP(C300,[1]Herbarium_tissue_collected!$B:$B,[1]Herbarium_tissue_collected!$D:$D)</f>
        <v>74236</v>
      </c>
      <c r="E300" s="3">
        <v>74236</v>
      </c>
      <c r="F300" s="3" t="str">
        <f>_xlfn.XLOOKUP(C300,[1]Herbarium_tissue_collected!$B:$B,[1]Herbarium_tissue_collected!$F:$F)</f>
        <v xml:space="preserve">3 axillary buds, 1 little leaf </v>
      </c>
      <c r="G300" s="3" t="str">
        <f>_xlfn.XLOOKUP(C300,[1]Herbarium_tissue_collected!$B:$B,[1]Herbarium_tissue_collected!$G:$G)</f>
        <v xml:space="preserve">yes, cauline with basal morphology </v>
      </c>
      <c r="N300">
        <f>_xlfn.XLOOKUP(C300,[1]Herbarium_tissue_collected!$B:$B,[1]Herbarium_tissue_collected!$E:$E)</f>
        <v>1985</v>
      </c>
      <c r="S300" t="s">
        <v>80</v>
      </c>
    </row>
    <row r="301" spans="1:20" x14ac:dyDescent="0.2">
      <c r="A301" t="s">
        <v>27</v>
      </c>
      <c r="B301" t="s">
        <v>22</v>
      </c>
      <c r="C301">
        <v>469018</v>
      </c>
      <c r="D301" s="3" t="str">
        <f>_xlfn.XLOOKUP(C301,[1]Herbarium_tissue_collected!$B:$B,[1]Herbarium_tissue_collected!$D:$D)</f>
        <v>SD00062710</v>
      </c>
      <c r="E301" s="3" t="s">
        <v>260</v>
      </c>
      <c r="F301" s="3" t="str">
        <f>_xlfn.XLOOKUP(C301,[1]Herbarium_tissue_collected!$B:$B,[1]Herbarium_tissue_collected!$F:$F)</f>
        <v>6 axillary buds</v>
      </c>
      <c r="G301" s="3" t="str">
        <f>_xlfn.XLOOKUP(C301,[1]Herbarium_tissue_collected!$B:$B,[1]Herbarium_tissue_collected!$G:$G)</f>
        <v>yes, basal</v>
      </c>
      <c r="I301" t="s">
        <v>284</v>
      </c>
      <c r="N301">
        <f>_xlfn.XLOOKUP(C301,[1]Herbarium_tissue_collected!$B:$B,[1]Herbarium_tissue_collected!$E:$E)</f>
        <v>1986</v>
      </c>
      <c r="S301" t="s">
        <v>80</v>
      </c>
      <c r="T301" t="s">
        <v>65</v>
      </c>
    </row>
    <row r="302" spans="1:20" x14ac:dyDescent="0.2">
      <c r="A302" t="s">
        <v>27</v>
      </c>
      <c r="B302" t="s">
        <v>23</v>
      </c>
      <c r="C302" s="3">
        <v>2079339</v>
      </c>
      <c r="D302" s="3" t="str">
        <f>_xlfn.XLOOKUP(C302,[1]Herbarium_tissue_collected!$B:$B,[1]Herbarium_tissue_collected!$D:$D)</f>
        <v>CHSC075075</v>
      </c>
      <c r="E302" s="3" t="s">
        <v>261</v>
      </c>
      <c r="F302" s="3" t="str">
        <f>_xlfn.XLOOKUP(C302,[1]Herbarium_tissue_collected!$B:$B,[1]Herbarium_tissue_collected!$F:$F)</f>
        <v>3 axillary bud, 1 little leaf</v>
      </c>
      <c r="G302" s="3" t="str">
        <f>_xlfn.XLOOKUP(C302,[1]Herbarium_tissue_collected!$B:$B,[1]Herbarium_tissue_collected!$G:$G)</f>
        <v>yes, cauline w/ intermediate morphology</v>
      </c>
      <c r="N302">
        <f>_xlfn.XLOOKUP(C302,[1]Herbarium_tissue_collected!$B:$B,[1]Herbarium_tissue_collected!$E:$E)</f>
        <v>1987</v>
      </c>
      <c r="S302" t="s">
        <v>81</v>
      </c>
    </row>
    <row r="303" spans="1:20" x14ac:dyDescent="0.2">
      <c r="A303" t="s">
        <v>27</v>
      </c>
      <c r="B303" t="s">
        <v>22</v>
      </c>
      <c r="C303">
        <v>4947933</v>
      </c>
      <c r="D303" s="3" t="str">
        <f>_xlfn.XLOOKUP(C303,[1]Herbarium_tissue_collected!$B:$B,[1]Herbarium_tissue_collected!$D:$D)</f>
        <v>US 3492194</v>
      </c>
      <c r="E303" s="3" t="s">
        <v>262</v>
      </c>
      <c r="F303" s="3">
        <f>_xlfn.XLOOKUP(C303,[1]Herbarium_tissue_collected!$B:$B,[1]Herbarium_tissue_collected!$F:$F)</f>
        <v>0</v>
      </c>
      <c r="G303" s="3">
        <f>_xlfn.XLOOKUP(C303,[1]Herbarium_tissue_collected!$B:$B,[1]Herbarium_tissue_collected!$G:$G)</f>
        <v>0</v>
      </c>
      <c r="N303">
        <f>_xlfn.XLOOKUP(C303,[1]Herbarium_tissue_collected!$B:$B,[1]Herbarium_tissue_collected!$E:$E)</f>
        <v>1989</v>
      </c>
      <c r="S303" t="s">
        <v>71</v>
      </c>
    </row>
    <row r="304" spans="1:20" x14ac:dyDescent="0.2">
      <c r="A304" t="s">
        <v>27</v>
      </c>
      <c r="B304" t="s">
        <v>23</v>
      </c>
      <c r="C304">
        <v>469036</v>
      </c>
      <c r="D304" s="3" t="str">
        <f>_xlfn.XLOOKUP(C304,[1]Herbarium_tissue_collected!$B:$B,[1]Herbarium_tissue_collected!$D:$D)</f>
        <v>SD00062659</v>
      </c>
      <c r="E304" s="3" t="s">
        <v>263</v>
      </c>
      <c r="F304" s="3" t="str">
        <f>_xlfn.XLOOKUP(C304,[1]Herbarium_tissue_collected!$B:$B,[1]Herbarium_tissue_collected!$F:$F)</f>
        <v>3 axiallary buds</v>
      </c>
      <c r="G304" s="3" t="str">
        <f>_xlfn.XLOOKUP(C304,[1]Herbarium_tissue_collected!$B:$B,[1]Herbarium_tissue_collected!$G:$G)</f>
        <v>yes, cauline w/ intermediate morphology</v>
      </c>
      <c r="N304">
        <f>_xlfn.XLOOKUP(C304,[1]Herbarium_tissue_collected!$B:$B,[1]Herbarium_tissue_collected!$E:$E)</f>
        <v>1990</v>
      </c>
      <c r="S304" t="s">
        <v>43</v>
      </c>
    </row>
    <row r="305" spans="1:19" x14ac:dyDescent="0.2">
      <c r="A305" t="s">
        <v>27</v>
      </c>
      <c r="B305" t="s">
        <v>23</v>
      </c>
      <c r="C305">
        <v>232773</v>
      </c>
      <c r="D305" s="3" t="str">
        <f>_xlfn.XLOOKUP(C305,[1]Herbarium_tissue_collected!$B:$B,[1]Herbarium_tissue_collected!$D:$D)</f>
        <v>UCSC100000691</v>
      </c>
      <c r="E305" s="3" t="s">
        <v>264</v>
      </c>
      <c r="F305" s="3" t="str">
        <f>_xlfn.XLOOKUP(C305,[1]Herbarium_tissue_collected!$B:$B,[1]Herbarium_tissue_collected!$F:$F)</f>
        <v>axillary bud clusters +</v>
      </c>
      <c r="G305" s="3" t="str">
        <f>_xlfn.XLOOKUP(C305,[1]Herbarium_tissue_collected!$B:$B,[1]Herbarium_tissue_collected!$G:$G)</f>
        <v>yes, cauline, not basal morphology</v>
      </c>
      <c r="I305" t="s">
        <v>284</v>
      </c>
      <c r="K305" t="s">
        <v>29</v>
      </c>
      <c r="N305">
        <f>_xlfn.XLOOKUP(C305,[1]Herbarium_tissue_collected!$B:$B,[1]Herbarium_tissue_collected!$E:$E)</f>
        <v>1993</v>
      </c>
      <c r="S305" t="s">
        <v>48</v>
      </c>
    </row>
    <row r="306" spans="1:19" x14ac:dyDescent="0.2">
      <c r="A306" t="s">
        <v>27</v>
      </c>
      <c r="B306" t="s">
        <v>23</v>
      </c>
      <c r="C306">
        <v>1537502</v>
      </c>
      <c r="D306" s="3" t="str">
        <f>_xlfn.XLOOKUP(C306,[1]Herbarium_tissue_collected!$B:$B,[1]Herbarium_tissue_collected!$D:$D)</f>
        <v>UCR0083394</v>
      </c>
      <c r="E306" s="3" t="s">
        <v>265</v>
      </c>
      <c r="F306" s="3" t="str">
        <f>_xlfn.XLOOKUP(C306,[1]Herbarium_tissue_collected!$B:$B,[1]Herbarium_tissue_collected!$F:$F)</f>
        <v>3 axillary bud, 1 terminal</v>
      </c>
      <c r="G306" s="3" t="str">
        <f>_xlfn.XLOOKUP(C306,[1]Herbarium_tissue_collected!$B:$B,[1]Herbarium_tissue_collected!$G:$G)</f>
        <v>yes, cauline with basal morphology</v>
      </c>
      <c r="N306">
        <f>_xlfn.XLOOKUP(C306,[1]Herbarium_tissue_collected!$B:$B,[1]Herbarium_tissue_collected!$E:$E)</f>
        <v>1994</v>
      </c>
      <c r="S306" t="s">
        <v>43</v>
      </c>
    </row>
    <row r="307" spans="1:19" x14ac:dyDescent="0.2">
      <c r="A307" t="s">
        <v>27</v>
      </c>
      <c r="B307" t="s">
        <v>23</v>
      </c>
      <c r="C307">
        <v>3324477</v>
      </c>
      <c r="D307" s="3" t="str">
        <f>_xlfn.XLOOKUP(C307,[1]Herbarium_tissue_collected!$B:$B,[1]Herbarium_tissue_collected!$D:$D)</f>
        <v>UC2027737</v>
      </c>
      <c r="E307" s="3" t="s">
        <v>266</v>
      </c>
      <c r="F307" s="3" t="str">
        <f>_xlfn.XLOOKUP(C307,[1]Herbarium_tissue_collected!$B:$B,[1]Herbarium_tissue_collected!$F:$F)</f>
        <v>4 bud clusters, little leaf</v>
      </c>
      <c r="G307" s="3" t="str">
        <f>_xlfn.XLOOKUP(C307,[1]Herbarium_tissue_collected!$B:$B,[1]Herbarium_tissue_collected!$G:$G)</f>
        <v>yes, cauline with basal morphology</v>
      </c>
      <c r="N307">
        <f>_xlfn.XLOOKUP(C307,[1]Herbarium_tissue_collected!$B:$B,[1]Herbarium_tissue_collected!$E:$E)</f>
        <v>1997</v>
      </c>
    </row>
    <row r="308" spans="1:19" x14ac:dyDescent="0.2">
      <c r="A308" t="s">
        <v>27</v>
      </c>
      <c r="B308" t="s">
        <v>23</v>
      </c>
      <c r="C308">
        <v>3544281</v>
      </c>
      <c r="D308" s="3" t="str">
        <f>_xlfn.XLOOKUP(C308,[1]Herbarium_tissue_collected!$B:$B,[1]Herbarium_tissue_collected!$D:$D)</f>
        <v>UC2028176</v>
      </c>
      <c r="E308" s="3" t="s">
        <v>267</v>
      </c>
      <c r="F308" s="3" t="str">
        <f>_xlfn.XLOOKUP(C308,[1]Herbarium_tissue_collected!$B:$B,[1]Herbarium_tissue_collected!$F:$F)</f>
        <v>2 axiallary bud clusters, 1 apical bud cluster</v>
      </c>
      <c r="G308" s="3" t="str">
        <f>_xlfn.XLOOKUP(C308,[1]Herbarium_tissue_collected!$B:$B,[1]Herbarium_tissue_collected!$G:$G)</f>
        <v>yes, basal</v>
      </c>
      <c r="N308">
        <f>_xlfn.XLOOKUP(C308,[1]Herbarium_tissue_collected!$B:$B,[1]Herbarium_tissue_collected!$E:$E)</f>
        <v>1998</v>
      </c>
      <c r="S308" t="s">
        <v>74</v>
      </c>
    </row>
    <row r="309" spans="1:19" x14ac:dyDescent="0.2">
      <c r="A309" t="s">
        <v>27</v>
      </c>
      <c r="B309" t="s">
        <v>24</v>
      </c>
      <c r="C309">
        <v>3475357</v>
      </c>
      <c r="D309" s="3" t="str">
        <f>_xlfn.XLOOKUP(C309,[1]Herbarium_tissue_collected!$B:$B,[1]Herbarium_tissue_collected!$D:$D)</f>
        <v>JEPS100009</v>
      </c>
      <c r="E309" s="3" t="s">
        <v>268</v>
      </c>
      <c r="F309" s="3" t="str">
        <f>_xlfn.XLOOKUP(C309,[1]Herbarium_tissue_collected!$B:$B,[1]Herbarium_tissue_collected!$F:$F)</f>
        <v>3 bud clusters</v>
      </c>
      <c r="G309" s="3" t="str">
        <f>_xlfn.XLOOKUP(C309,[1]Herbarium_tissue_collected!$B:$B,[1]Herbarium_tissue_collected!$G:$G)</f>
        <v>yes, cauline, intermediate morphology</v>
      </c>
      <c r="H309" t="s">
        <v>29</v>
      </c>
      <c r="I309" t="s">
        <v>83</v>
      </c>
      <c r="N309">
        <f>_xlfn.XLOOKUP(C309,[1]Herbarium_tissue_collected!$B:$B,[1]Herbarium_tissue_collected!$E:$E)</f>
        <v>2003</v>
      </c>
    </row>
    <row r="310" spans="1:19" x14ac:dyDescent="0.2">
      <c r="A310" t="s">
        <v>27</v>
      </c>
      <c r="B310" t="s">
        <v>24</v>
      </c>
      <c r="C310">
        <v>202480</v>
      </c>
      <c r="D310" s="3" t="str">
        <f>_xlfn.XLOOKUP(C310,[1]Herbarium_tissue_collected!$B:$B,[1]Herbarium_tissue_collected!$D:$D)</f>
        <v>OBI101761</v>
      </c>
      <c r="E310" s="3" t="s">
        <v>269</v>
      </c>
      <c r="F310" s="3" t="str">
        <f>_xlfn.XLOOKUP(C310,[1]Herbarium_tissue_collected!$B:$B,[1]Herbarium_tissue_collected!$F:$F)</f>
        <v>buds w extra</v>
      </c>
      <c r="G310" s="3" t="str">
        <f>_xlfn.XLOOKUP(C310,[1]Herbarium_tissue_collected!$B:$B,[1]Herbarium_tissue_collected!$G:$G)</f>
        <v>yes, basal</v>
      </c>
      <c r="H310" t="s">
        <v>29</v>
      </c>
      <c r="I310" t="s">
        <v>83</v>
      </c>
      <c r="N310">
        <f>_xlfn.XLOOKUP(C310,[1]Herbarium_tissue_collected!$B:$B,[1]Herbarium_tissue_collected!$E:$E)</f>
        <v>2004</v>
      </c>
    </row>
    <row r="311" spans="1:19" s="10" customFormat="1" x14ac:dyDescent="0.2">
      <c r="A311" s="10" t="s">
        <v>27</v>
      </c>
      <c r="B311" s="10" t="s">
        <v>24</v>
      </c>
      <c r="C311" s="10">
        <v>3400832</v>
      </c>
      <c r="D311" s="11" t="str">
        <f>_xlfn.XLOOKUP(C311,[1]Herbarium_tissue_collected!$B:$B,[1]Herbarium_tissue_collected!$D:$D)</f>
        <v>JEPS111867</v>
      </c>
      <c r="E311" s="11" t="s">
        <v>270</v>
      </c>
      <c r="F311" s="11" t="str">
        <f>_xlfn.XLOOKUP(C311,[1]Herbarium_tissue_collected!$B:$B,[1]Herbarium_tissue_collected!$F:$F)</f>
        <v>2 bud clusters, little leaf</v>
      </c>
      <c r="G311" s="11" t="str">
        <f>_xlfn.XLOOKUP(C311,[1]Herbarium_tissue_collected!$B:$B,[1]Herbarium_tissue_collected!$G:$G)</f>
        <v>yes, basal</v>
      </c>
      <c r="H311" s="10" t="s">
        <v>29</v>
      </c>
      <c r="I311" s="10" t="s">
        <v>284</v>
      </c>
      <c r="N311" s="10">
        <f>_xlfn.XLOOKUP(C311,[1]Herbarium_tissue_collected!$B:$B,[1]Herbarium_tissue_collected!$E:$E)</f>
        <v>2004</v>
      </c>
    </row>
    <row r="312" spans="1:19" s="10" customFormat="1" x14ac:dyDescent="0.2">
      <c r="A312" s="10" t="s">
        <v>27</v>
      </c>
      <c r="B312" s="10" t="s">
        <v>24</v>
      </c>
      <c r="C312" s="10">
        <v>1300530</v>
      </c>
      <c r="D312" s="11" t="str">
        <f>_xlfn.XLOOKUP(C312,[1]Herbarium_tissue_collected!$B:$B,[1]Herbarium_tissue_collected!$D:$D)</f>
        <v>DAV310440</v>
      </c>
      <c r="E312" s="11" t="s">
        <v>271</v>
      </c>
      <c r="F312" s="11" t="str">
        <f>_xlfn.XLOOKUP(C312,[1]Herbarium_tissue_collected!$B:$B,[1]Herbarium_tissue_collected!$F:$F)</f>
        <v>2 axiallary bud2, 1 terminal bud cluster</v>
      </c>
      <c r="G312" s="11" t="str">
        <f>_xlfn.XLOOKUP(C312,[1]Herbarium_tissue_collected!$B:$B,[1]Herbarium_tissue_collected!$G:$G)</f>
        <v>yes, cauline with basal morphology</v>
      </c>
      <c r="H312" s="3" t="s">
        <v>29</v>
      </c>
      <c r="I312" s="10" t="s">
        <v>284</v>
      </c>
      <c r="N312" s="10">
        <f>_xlfn.XLOOKUP(C312,[1]Herbarium_tissue_collected!$B:$B,[1]Herbarium_tissue_collected!$E:$E)</f>
        <v>2000</v>
      </c>
    </row>
    <row r="313" spans="1:19" s="10" customFormat="1" x14ac:dyDescent="0.2">
      <c r="A313" s="10" t="s">
        <v>27</v>
      </c>
      <c r="B313" s="10" t="s">
        <v>24</v>
      </c>
      <c r="C313" s="10">
        <v>1337204</v>
      </c>
      <c r="D313" s="11" t="str">
        <f>_xlfn.XLOOKUP(C313,[1]Herbarium_tissue_collected!$B:$B,[1]Herbarium_tissue_collected!$D:$D)</f>
        <v>DAV300671</v>
      </c>
      <c r="E313" s="11" t="s">
        <v>272</v>
      </c>
      <c r="F313" s="11" t="str">
        <f>_xlfn.XLOOKUP(C313,[1]Herbarium_tissue_collected!$B:$B,[1]Herbarium_tissue_collected!$F:$F)</f>
        <v>3 axiallary bud, 1 little leaf</v>
      </c>
      <c r="G313" s="11" t="str">
        <f>_xlfn.XLOOKUP(C313,[1]Herbarium_tissue_collected!$B:$B,[1]Herbarium_tissue_collected!$G:$G)</f>
        <v>yes, cauline w/ intermediate morphology</v>
      </c>
      <c r="I313" s="10" t="s">
        <v>284</v>
      </c>
      <c r="N313" s="10">
        <f>_xlfn.XLOOKUP(C313,[1]Herbarium_tissue_collected!$B:$B,[1]Herbarium_tissue_collected!$E:$E)</f>
        <v>2002</v>
      </c>
    </row>
    <row r="314" spans="1:19" x14ac:dyDescent="0.2">
      <c r="A314" t="s">
        <v>27</v>
      </c>
      <c r="B314" t="s">
        <v>25</v>
      </c>
      <c r="C314">
        <v>235906</v>
      </c>
      <c r="D314" s="3" t="str">
        <f>_xlfn.XLOOKUP(C314,[1]Herbarium_tissue_collected!$B:$B,[1]Herbarium_tissue_collected!$D:$D)</f>
        <v>UCSC100000697</v>
      </c>
      <c r="E314" s="3" t="s">
        <v>273</v>
      </c>
      <c r="F314" s="3" t="str">
        <f>_xlfn.XLOOKUP(C314,[1]Herbarium_tissue_collected!$B:$B,[1]Herbarium_tissue_collected!$F:$F)</f>
        <v>few bud clusters</v>
      </c>
      <c r="G314" s="3" t="str">
        <f>_xlfn.XLOOKUP(C314,[1]Herbarium_tissue_collected!$B:$B,[1]Herbarium_tissue_collected!$G:$G)</f>
        <v>no</v>
      </c>
      <c r="H314" t="s">
        <v>29</v>
      </c>
      <c r="I314" t="s">
        <v>83</v>
      </c>
      <c r="N314">
        <f>_xlfn.XLOOKUP(C314,[1]Herbarium_tissue_collected!$B:$B,[1]Herbarium_tissue_collected!$E:$E)</f>
        <v>2011</v>
      </c>
    </row>
    <row r="315" spans="1:19" x14ac:dyDescent="0.2">
      <c r="A315" t="s">
        <v>27</v>
      </c>
      <c r="B315" t="s">
        <v>25</v>
      </c>
      <c r="C315">
        <v>236400</v>
      </c>
      <c r="D315" s="3" t="str">
        <f>_xlfn.XLOOKUP(C315,[1]Herbarium_tissue_collected!$B:$B,[1]Herbarium_tissue_collected!$D:$D)</f>
        <v>UCSC100000698</v>
      </c>
      <c r="E315" s="3" t="s">
        <v>274</v>
      </c>
      <c r="F315" s="3" t="str">
        <f>_xlfn.XLOOKUP(C315,[1]Herbarium_tissue_collected!$B:$B,[1]Herbarium_tissue_collected!$F:$F)</f>
        <v>2+ axillary bud clusters + extra buds</v>
      </c>
      <c r="G315" s="3" t="str">
        <f>_xlfn.XLOOKUP(C315,[1]Herbarium_tissue_collected!$B:$B,[1]Herbarium_tissue_collected!$G:$G)</f>
        <v>yes, basal</v>
      </c>
      <c r="H315" t="s">
        <v>29</v>
      </c>
      <c r="I315" t="s">
        <v>83</v>
      </c>
      <c r="N315">
        <f>_xlfn.XLOOKUP(C315,[1]Herbarium_tissue_collected!$B:$B,[1]Herbarium_tissue_collected!$E:$E)</f>
        <v>2011</v>
      </c>
    </row>
    <row r="316" spans="1:19" x14ac:dyDescent="0.2">
      <c r="A316" t="s">
        <v>27</v>
      </c>
      <c r="B316" t="s">
        <v>25</v>
      </c>
      <c r="C316">
        <v>236700</v>
      </c>
      <c r="D316" s="3" t="str">
        <f>_xlfn.XLOOKUP(C316,[1]Herbarium_tissue_collected!$B:$B,[1]Herbarium_tissue_collected!$D:$D)</f>
        <v>UCSC100000689</v>
      </c>
      <c r="E316" s="3" t="s">
        <v>275</v>
      </c>
      <c r="F316" s="3" t="str">
        <f>_xlfn.XLOOKUP(C316,[1]Herbarium_tissue_collected!$B:$B,[1]Herbarium_tissue_collected!$F:$F)</f>
        <v>buds, and apicle cluster (extra big buds)</v>
      </c>
      <c r="G316" s="3" t="str">
        <f>_xlfn.XLOOKUP(C316,[1]Herbarium_tissue_collected!$B:$B,[1]Herbarium_tissue_collected!$G:$G)</f>
        <v>yes, basal morphology (unclear if cauline bc not attached to plant</v>
      </c>
      <c r="H316" t="s">
        <v>29</v>
      </c>
      <c r="I316" t="s">
        <v>83</v>
      </c>
      <c r="N316">
        <f>_xlfn.XLOOKUP(C316,[1]Herbarium_tissue_collected!$B:$B,[1]Herbarium_tissue_collected!$E:$E)</f>
        <v>2012</v>
      </c>
    </row>
    <row r="317" spans="1:19" x14ac:dyDescent="0.2">
      <c r="A317" t="s">
        <v>27</v>
      </c>
      <c r="B317" t="s">
        <v>25</v>
      </c>
      <c r="C317">
        <v>236311</v>
      </c>
      <c r="D317" s="3" t="str">
        <f>_xlfn.XLOOKUP(C317,[1]Herbarium_tissue_collected!$B:$B,[1]Herbarium_tissue_collected!$D:$D)</f>
        <v>UCSC100000688</v>
      </c>
      <c r="E317" s="3" t="s">
        <v>276</v>
      </c>
      <c r="F317" s="3" t="str">
        <f>_xlfn.XLOOKUP(C317,[1]Herbarium_tissue_collected!$B:$B,[1]Herbarium_tissue_collected!$F:$F)</f>
        <v>2+ axillary bud clusters + extra buds</v>
      </c>
      <c r="G317" s="3" t="str">
        <f>_xlfn.XLOOKUP(C317,[1]Herbarium_tissue_collected!$B:$B,[1]Herbarium_tissue_collected!$G:$G)</f>
        <v>yes, basal</v>
      </c>
      <c r="H317" t="s">
        <v>29</v>
      </c>
      <c r="I317" t="s">
        <v>83</v>
      </c>
      <c r="N317">
        <f>_xlfn.XLOOKUP(C317,[1]Herbarium_tissue_collected!$B:$B,[1]Herbarium_tissue_collected!$E:$E)</f>
        <v>2013</v>
      </c>
    </row>
    <row r="318" spans="1:19" x14ac:dyDescent="0.2">
      <c r="A318" t="s">
        <v>27</v>
      </c>
      <c r="B318" t="s">
        <v>25</v>
      </c>
      <c r="C318">
        <v>238791</v>
      </c>
      <c r="D318" s="3" t="str">
        <f>_xlfn.XLOOKUP(C318,[1]Herbarium_tissue_collected!$B:$B,[1]Herbarium_tissue_collected!$D:$D)</f>
        <v>UCSC100000690</v>
      </c>
      <c r="E318" s="3" t="s">
        <v>277</v>
      </c>
      <c r="F318" s="3" t="str">
        <f>_xlfn.XLOOKUP(C318,[1]Herbarium_tissue_collected!$B:$B,[1]Herbarium_tissue_collected!$F:$F)</f>
        <v>axillary bud clusters +</v>
      </c>
      <c r="G318" s="3" t="str">
        <f>_xlfn.XLOOKUP(C318,[1]Herbarium_tissue_collected!$B:$B,[1]Herbarium_tissue_collected!$G:$G)</f>
        <v>yes, basal</v>
      </c>
      <c r="H318" t="s">
        <v>29</v>
      </c>
      <c r="I318" t="s">
        <v>83</v>
      </c>
      <c r="N318">
        <f>_xlfn.XLOOKUP(C318,[1]Herbarium_tissue_collected!$B:$B,[1]Herbarium_tissue_collected!$E:$E)</f>
        <v>2015</v>
      </c>
    </row>
    <row r="319" spans="1:19" x14ac:dyDescent="0.2">
      <c r="A319" t="s">
        <v>27</v>
      </c>
      <c r="B319" t="s">
        <v>25</v>
      </c>
      <c r="C319">
        <v>3349335</v>
      </c>
      <c r="D319" s="3" t="str">
        <f>_xlfn.XLOOKUP(C319,[1]Herbarium_tissue_collected!$B:$B,[1]Herbarium_tissue_collected!$D:$D)</f>
        <v>JEPS127092</v>
      </c>
      <c r="E319" s="3" t="s">
        <v>278</v>
      </c>
      <c r="F319" s="3" t="str">
        <f>_xlfn.XLOOKUP(C319,[1]Herbarium_tissue_collected!$B:$B,[1]Herbarium_tissue_collected!$F:$F)</f>
        <v>3 bud clusters</v>
      </c>
      <c r="G319" s="3" t="str">
        <f>_xlfn.XLOOKUP(C319,[1]Herbarium_tissue_collected!$B:$B,[1]Herbarium_tissue_collected!$G:$G)</f>
        <v>yes, basal</v>
      </c>
      <c r="H319" t="s">
        <v>29</v>
      </c>
      <c r="I319" t="s">
        <v>83</v>
      </c>
      <c r="N319">
        <f>_xlfn.XLOOKUP(C319,[1]Herbarium_tissue_collected!$B:$B,[1]Herbarium_tissue_collected!$E:$E)</f>
        <v>2016</v>
      </c>
    </row>
    <row r="320" spans="1:19" x14ac:dyDescent="0.2">
      <c r="A320" t="s">
        <v>27</v>
      </c>
      <c r="B320" t="s">
        <v>25</v>
      </c>
      <c r="C320">
        <v>215180</v>
      </c>
      <c r="D320" s="3" t="str">
        <f>_xlfn.XLOOKUP(C320,[1]Herbarium_tissue_collected!$B:$B,[1]Herbarium_tissue_collected!$D:$D)</f>
        <v>OBI101741</v>
      </c>
      <c r="E320" s="3" t="s">
        <v>279</v>
      </c>
      <c r="F320" s="3" t="str">
        <f>_xlfn.XLOOKUP(C320,[1]Herbarium_tissue_collected!$B:$B,[1]Herbarium_tissue_collected!$F:$F)</f>
        <v>buds w extra, tiny lf</v>
      </c>
      <c r="G320" s="3" t="str">
        <f>_xlfn.XLOOKUP(C320,[1]Herbarium_tissue_collected!$B:$B,[1]Herbarium_tissue_collected!$G:$G)</f>
        <v>yes, basal</v>
      </c>
      <c r="H320" t="s">
        <v>29</v>
      </c>
      <c r="I320" t="s">
        <v>83</v>
      </c>
      <c r="N320">
        <f>_xlfn.XLOOKUP(C320,[1]Herbarium_tissue_collected!$B:$B,[1]Herbarium_tissue_collected!$E:$E)</f>
        <v>2017</v>
      </c>
    </row>
    <row r="321" spans="1:14" x14ac:dyDescent="0.2">
      <c r="A321" t="s">
        <v>27</v>
      </c>
      <c r="B321" t="s">
        <v>25</v>
      </c>
      <c r="C321">
        <v>3590166</v>
      </c>
      <c r="D321" s="3" t="str">
        <f>_xlfn.XLOOKUP(C321,[1]Herbarium_tissue_collected!$B:$B,[1]Herbarium_tissue_collected!$D:$D)</f>
        <v>UCSC100003138</v>
      </c>
      <c r="E321" s="3" t="s">
        <v>280</v>
      </c>
      <c r="F321" s="3" t="str">
        <f>_xlfn.XLOOKUP(C321,[1]Herbarium_tissue_collected!$B:$B,[1]Herbarium_tissue_collected!$F:$F)</f>
        <v>multiple axillary bud clusters + a few buds</v>
      </c>
      <c r="G321" s="3" t="str">
        <f>_xlfn.XLOOKUP(C321,[1]Herbarium_tissue_collected!$B:$B,[1]Herbarium_tissue_collected!$G:$G)</f>
        <v>yes, cauline with basal morphology</v>
      </c>
      <c r="H321" t="s">
        <v>29</v>
      </c>
      <c r="I321" t="s">
        <v>83</v>
      </c>
      <c r="N321">
        <f>_xlfn.XLOOKUP(C321,[1]Herbarium_tissue_collected!$B:$B,[1]Herbarium_tissue_collected!$E:$E)</f>
        <v>2019</v>
      </c>
    </row>
    <row r="322" spans="1:14" x14ac:dyDescent="0.2">
      <c r="A322" t="s">
        <v>27</v>
      </c>
      <c r="B322" t="s">
        <v>25</v>
      </c>
      <c r="C322">
        <v>3590276</v>
      </c>
      <c r="D322" s="3" t="str">
        <f>_xlfn.XLOOKUP(C322,[1]Herbarium_tissue_collected!$B:$B,[1]Herbarium_tissue_collected!$D:$D)</f>
        <v>UCSC100003126</v>
      </c>
      <c r="E322" s="3" t="s">
        <v>281</v>
      </c>
      <c r="F322" s="3" t="str">
        <f>_xlfn.XLOOKUP(C322,[1]Herbarium_tissue_collected!$B:$B,[1]Herbarium_tissue_collected!$F:$F)</f>
        <v>2+ axillary bud clusters + extra buds</v>
      </c>
      <c r="G322" s="3" t="str">
        <f>_xlfn.XLOOKUP(C322,[1]Herbarium_tissue_collected!$B:$B,[1]Herbarium_tissue_collected!$G:$G)</f>
        <v>yes, cauline with basal morphology</v>
      </c>
      <c r="H322" t="s">
        <v>29</v>
      </c>
      <c r="I322" t="s">
        <v>83</v>
      </c>
      <c r="N322">
        <f>_xlfn.XLOOKUP(C322,[1]Herbarium_tissue_collected!$B:$B,[1]Herbarium_tissue_collected!$E:$E)</f>
        <v>2019</v>
      </c>
    </row>
    <row r="323" spans="1:14" x14ac:dyDescent="0.2">
      <c r="D323" s="3"/>
      <c r="E323" s="3"/>
      <c r="F323" s="3"/>
      <c r="G323" s="3"/>
    </row>
    <row r="326" spans="1:14" x14ac:dyDescent="0.2">
      <c r="D326" s="3"/>
      <c r="E326" s="3"/>
      <c r="F326" s="3"/>
      <c r="G326" s="3"/>
    </row>
    <row r="327" spans="1:14" x14ac:dyDescent="0.2">
      <c r="D327" s="3"/>
      <c r="E327" s="3"/>
      <c r="F327" s="3"/>
      <c r="G327" s="3"/>
    </row>
    <row r="328" spans="1:14" x14ac:dyDescent="0.2">
      <c r="D328" s="3"/>
      <c r="E328" s="3"/>
      <c r="F328" s="3"/>
      <c r="G328" s="3"/>
    </row>
    <row r="329" spans="1:14" x14ac:dyDescent="0.2">
      <c r="D329" s="3"/>
      <c r="E329" s="3"/>
      <c r="F329" s="3"/>
      <c r="G329" s="3"/>
    </row>
  </sheetData>
  <conditionalFormatting sqref="C6">
    <cfRule type="duplicateValues" dxfId="58" priority="63"/>
    <cfRule type="duplicateValues" dxfId="57" priority="64"/>
  </conditionalFormatting>
  <conditionalFormatting sqref="C23">
    <cfRule type="duplicateValues" dxfId="56" priority="51"/>
    <cfRule type="duplicateValues" dxfId="55" priority="52"/>
  </conditionalFormatting>
  <conditionalFormatting sqref="C24">
    <cfRule type="duplicateValues" dxfId="54" priority="41"/>
    <cfRule type="duplicateValues" dxfId="53" priority="42"/>
  </conditionalFormatting>
  <conditionalFormatting sqref="C85">
    <cfRule type="duplicateValues" dxfId="52" priority="39"/>
  </conditionalFormatting>
  <conditionalFormatting sqref="C86">
    <cfRule type="duplicateValues" dxfId="51" priority="38"/>
  </conditionalFormatting>
  <conditionalFormatting sqref="C87">
    <cfRule type="duplicateValues" dxfId="50" priority="37"/>
  </conditionalFormatting>
  <conditionalFormatting sqref="C88">
    <cfRule type="duplicateValues" dxfId="49" priority="36"/>
  </conditionalFormatting>
  <conditionalFormatting sqref="C89">
    <cfRule type="duplicateValues" dxfId="48" priority="35"/>
  </conditionalFormatting>
  <conditionalFormatting sqref="C90">
    <cfRule type="duplicateValues" dxfId="47" priority="34"/>
  </conditionalFormatting>
  <conditionalFormatting sqref="C91">
    <cfRule type="duplicateValues" dxfId="46" priority="33"/>
  </conditionalFormatting>
  <conditionalFormatting sqref="C92">
    <cfRule type="duplicateValues" dxfId="45" priority="32"/>
  </conditionalFormatting>
  <conditionalFormatting sqref="C93">
    <cfRule type="duplicateValues" dxfId="44" priority="31"/>
  </conditionalFormatting>
  <conditionalFormatting sqref="C94">
    <cfRule type="duplicateValues" dxfId="43" priority="30"/>
  </conditionalFormatting>
  <conditionalFormatting sqref="C95">
    <cfRule type="duplicateValues" dxfId="42" priority="29"/>
  </conditionalFormatting>
  <conditionalFormatting sqref="C96">
    <cfRule type="duplicateValues" dxfId="41" priority="28"/>
  </conditionalFormatting>
  <conditionalFormatting sqref="C97">
    <cfRule type="duplicateValues" dxfId="40" priority="27"/>
  </conditionalFormatting>
  <conditionalFormatting sqref="C98">
    <cfRule type="duplicateValues" dxfId="39" priority="26"/>
  </conditionalFormatting>
  <conditionalFormatting sqref="C99">
    <cfRule type="duplicateValues" dxfId="38" priority="25"/>
  </conditionalFormatting>
  <conditionalFormatting sqref="C100">
    <cfRule type="duplicateValues" dxfId="37" priority="24"/>
  </conditionalFormatting>
  <conditionalFormatting sqref="C101">
    <cfRule type="duplicateValues" dxfId="36" priority="23"/>
  </conditionalFormatting>
  <conditionalFormatting sqref="C102">
    <cfRule type="duplicateValues" dxfId="35" priority="22"/>
  </conditionalFormatting>
  <conditionalFormatting sqref="C103">
    <cfRule type="duplicateValues" dxfId="34" priority="21"/>
  </conditionalFormatting>
  <conditionalFormatting sqref="C104">
    <cfRule type="duplicateValues" dxfId="33" priority="20"/>
  </conditionalFormatting>
  <conditionalFormatting sqref="C105">
    <cfRule type="duplicateValues" dxfId="32" priority="19"/>
  </conditionalFormatting>
  <conditionalFormatting sqref="C106">
    <cfRule type="duplicateValues" dxfId="31" priority="18"/>
  </conditionalFormatting>
  <conditionalFormatting sqref="C120">
    <cfRule type="duplicateValues" dxfId="30" priority="160"/>
  </conditionalFormatting>
  <conditionalFormatting sqref="C124">
    <cfRule type="duplicateValues" dxfId="29" priority="43"/>
    <cfRule type="duplicateValues" dxfId="28" priority="44"/>
  </conditionalFormatting>
  <conditionalFormatting sqref="C179">
    <cfRule type="duplicateValues" dxfId="27" priority="17"/>
  </conditionalFormatting>
  <conditionalFormatting sqref="C181:C190">
    <cfRule type="duplicateValues" dxfId="26" priority="159"/>
  </conditionalFormatting>
  <conditionalFormatting sqref="C207:C209">
    <cfRule type="duplicateValues" dxfId="25" priority="55"/>
    <cfRule type="duplicateValues" dxfId="24" priority="56"/>
  </conditionalFormatting>
  <conditionalFormatting sqref="C224">
    <cfRule type="duplicateValues" dxfId="23" priority="49"/>
    <cfRule type="duplicateValues" dxfId="22" priority="50"/>
  </conditionalFormatting>
  <conditionalFormatting sqref="C309">
    <cfRule type="duplicateValues" dxfId="21" priority="16"/>
  </conditionalFormatting>
  <conditionalFormatting sqref="C310">
    <cfRule type="duplicateValues" dxfId="20" priority="15"/>
  </conditionalFormatting>
  <conditionalFormatting sqref="C311">
    <cfRule type="duplicateValues" dxfId="19" priority="14"/>
  </conditionalFormatting>
  <conditionalFormatting sqref="C314">
    <cfRule type="duplicateValues" dxfId="18" priority="13"/>
  </conditionalFormatting>
  <conditionalFormatting sqref="C315">
    <cfRule type="duplicateValues" dxfId="17" priority="12"/>
  </conditionalFormatting>
  <conditionalFormatting sqref="C316">
    <cfRule type="duplicateValues" dxfId="16" priority="11"/>
  </conditionalFormatting>
  <conditionalFormatting sqref="C317">
    <cfRule type="duplicateValues" dxfId="15" priority="10"/>
  </conditionalFormatting>
  <conditionalFormatting sqref="C318">
    <cfRule type="duplicateValues" dxfId="14" priority="9"/>
  </conditionalFormatting>
  <conditionalFormatting sqref="C319">
    <cfRule type="duplicateValues" dxfId="13" priority="8"/>
  </conditionalFormatting>
  <conditionalFormatting sqref="C320">
    <cfRule type="duplicateValues" dxfId="12" priority="7"/>
  </conditionalFormatting>
  <conditionalFormatting sqref="C321">
    <cfRule type="duplicateValues" dxfId="11" priority="6"/>
  </conditionalFormatting>
  <conditionalFormatting sqref="C322">
    <cfRule type="duplicateValues" dxfId="10" priority="5"/>
  </conditionalFormatting>
  <conditionalFormatting sqref="C326:C1048576 C1:C180 C191:C323">
    <cfRule type="duplicateValues" dxfId="9" priority="4"/>
  </conditionalFormatting>
  <conditionalFormatting sqref="C330:G1048576 C241:C245 C192 C1:G1 C3 C115:C118 C28 C45:C79 C125:C178 C247:C255 C257:C275 C277:C301 C305:C308 C107:C113 C180 C326:C329 C313">
    <cfRule type="duplicateValues" dxfId="8" priority="79"/>
  </conditionalFormatting>
  <conditionalFormatting sqref="H241:H255">
    <cfRule type="duplicateValues" dxfId="7" priority="46"/>
  </conditionalFormatting>
  <conditionalFormatting sqref="H256 C227:C232">
    <cfRule type="duplicateValues" dxfId="6" priority="78"/>
  </conditionalFormatting>
  <conditionalFormatting sqref="M1">
    <cfRule type="duplicateValues" dxfId="5" priority="66"/>
  </conditionalFormatting>
  <conditionalFormatting sqref="M9">
    <cfRule type="duplicateValues" dxfId="4" priority="62"/>
  </conditionalFormatting>
  <conditionalFormatting sqref="M196">
    <cfRule type="duplicateValues" dxfId="3" priority="59"/>
    <cfRule type="duplicateValues" dxfId="2" priority="60"/>
  </conditionalFormatting>
  <conditionalFormatting sqref="M201">
    <cfRule type="duplicateValues" dxfId="1" priority="57"/>
    <cfRule type="duplicateValues" dxfId="0" priority="58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7607-E231-534B-B5CF-4B1FAFBC8252}">
  <dimension ref="A1:A3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s="10" t="s">
        <v>84</v>
      </c>
    </row>
    <row r="2" spans="1:1" x14ac:dyDescent="0.2">
      <c r="A2" s="6" t="s">
        <v>85</v>
      </c>
    </row>
    <row r="3" spans="1:1" x14ac:dyDescent="0.2">
      <c r="A3" s="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Harencar</dc:creator>
  <cp:lastModifiedBy>Julia Harencar</cp:lastModifiedBy>
  <dcterms:created xsi:type="dcterms:W3CDTF">2025-11-10T21:43:14Z</dcterms:created>
  <dcterms:modified xsi:type="dcterms:W3CDTF">2026-01-23T05:32:02Z</dcterms:modified>
</cp:coreProperties>
</file>