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-jgharenc/Documents/Github/Raphanus_specimen_map/"/>
    </mc:Choice>
  </mc:AlternateContent>
  <xr:revisionPtr revIDLastSave="0" documentId="13_ncr:1_{6FBF5EC5-1D77-9140-B89A-9242360F1A95}" xr6:coauthVersionLast="47" xr6:coauthVersionMax="47" xr10:uidLastSave="{00000000-0000-0000-0000-000000000000}"/>
  <bookViews>
    <workbookView xWindow="13940" yWindow="660" windowWidth="15120" windowHeight="17180" xr2:uid="{86DAF4FE-B151-4849-8655-BF0C5B1524CE}"/>
  </bookViews>
  <sheets>
    <sheet name="Herbarium_tissue_collected" sheetId="1" r:id="rId1"/>
    <sheet name="CAS unsampled" sheetId="4" r:id="rId2"/>
    <sheet name="Recollection" sheetId="3" r:id="rId3"/>
    <sheet name="metadata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65" i="1" l="1"/>
  <c r="A866" i="1"/>
  <c r="A867" i="1"/>
  <c r="A868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854" i="1"/>
  <c r="A336" i="1"/>
  <c r="A337" i="1"/>
  <c r="A338" i="1"/>
  <c r="A339" i="1"/>
  <c r="A324" i="1"/>
  <c r="A332" i="1"/>
  <c r="A333" i="1"/>
  <c r="A340" i="1"/>
  <c r="A335" i="1"/>
  <c r="A325" i="1"/>
  <c r="A329" i="1"/>
  <c r="A328" i="1"/>
  <c r="A330" i="1"/>
  <c r="A326" i="1"/>
  <c r="A334" i="1"/>
  <c r="A331" i="1"/>
  <c r="A781" i="1"/>
  <c r="A778" i="1"/>
  <c r="A775" i="1"/>
  <c r="A776" i="1"/>
  <c r="A779" i="1"/>
  <c r="A780" i="1"/>
  <c r="A419" i="1"/>
  <c r="A417" i="1"/>
  <c r="A422" i="1"/>
  <c r="A421" i="1"/>
  <c r="A420" i="1"/>
  <c r="A418" i="1"/>
  <c r="A322" i="1"/>
  <c r="A323" i="1"/>
  <c r="A770" i="1"/>
  <c r="A767" i="1"/>
  <c r="A769" i="1"/>
  <c r="A768" i="1"/>
  <c r="A771" i="1"/>
  <c r="A772" i="1"/>
  <c r="A774" i="1"/>
  <c r="A773" i="1"/>
  <c r="A782" i="1"/>
  <c r="A312" i="1"/>
  <c r="A318" i="1"/>
  <c r="A313" i="1"/>
  <c r="A307" i="1"/>
  <c r="A309" i="1"/>
  <c r="A303" i="1"/>
  <c r="A304" i="1"/>
  <c r="A311" i="1"/>
  <c r="A320" i="1"/>
  <c r="A301" i="1"/>
  <c r="A305" i="1"/>
  <c r="A317" i="1"/>
  <c r="A314" i="1"/>
  <c r="A316" i="1"/>
  <c r="A319" i="1"/>
  <c r="A315" i="1"/>
  <c r="A308" i="1"/>
  <c r="A302" i="1"/>
  <c r="A306" i="1"/>
  <c r="A310" i="1"/>
  <c r="A300" i="1"/>
  <c r="A610" i="1"/>
  <c r="A858" i="1"/>
  <c r="A321" i="1"/>
  <c r="A756" i="1"/>
  <c r="A298" i="1"/>
  <c r="A299" i="1"/>
  <c r="A296" i="1"/>
  <c r="A297" i="1"/>
  <c r="A293" i="1"/>
  <c r="A295" i="1"/>
  <c r="A290" i="1"/>
  <c r="A291" i="1"/>
  <c r="A294" i="1"/>
  <c r="A864" i="1"/>
  <c r="A856" i="1"/>
  <c r="A855" i="1"/>
  <c r="A859" i="1"/>
  <c r="A860" i="1"/>
  <c r="A862" i="1"/>
  <c r="A861" i="1"/>
  <c r="A857" i="1"/>
  <c r="A752" i="1"/>
  <c r="A753" i="1"/>
  <c r="A761" i="1"/>
  <c r="A757" i="1"/>
  <c r="A754" i="1"/>
  <c r="A763" i="1"/>
  <c r="A764" i="1"/>
  <c r="A765" i="1"/>
  <c r="A758" i="1"/>
  <c r="A759" i="1"/>
  <c r="A755" i="1"/>
  <c r="A766" i="1"/>
  <c r="A760" i="1"/>
  <c r="A762" i="1"/>
  <c r="A495" i="1"/>
  <c r="A732" i="1"/>
  <c r="A749" i="1"/>
  <c r="A743" i="1"/>
  <c r="A735" i="1"/>
  <c r="A723" i="1"/>
  <c r="A733" i="1"/>
  <c r="A740" i="1"/>
  <c r="A728" i="1"/>
  <c r="A727" i="1"/>
  <c r="A730" i="1"/>
  <c r="A726" i="1"/>
  <c r="A746" i="1"/>
  <c r="A736" i="1"/>
  <c r="A724" i="1"/>
  <c r="A729" i="1"/>
  <c r="A725" i="1"/>
  <c r="A744" i="1"/>
  <c r="A737" i="1"/>
  <c r="A747" i="1"/>
  <c r="A738" i="1"/>
  <c r="A731" i="1"/>
  <c r="A745" i="1"/>
  <c r="A734" i="1"/>
  <c r="A748" i="1"/>
  <c r="A739" i="1"/>
  <c r="A750" i="1"/>
  <c r="A741" i="1"/>
  <c r="A751" i="1"/>
  <c r="A742" i="1"/>
  <c r="A785" i="1"/>
  <c r="A383" i="1"/>
  <c r="A814" i="1"/>
  <c r="A786" i="1"/>
  <c r="A787" i="1"/>
  <c r="A815" i="1"/>
  <c r="A788" i="1"/>
  <c r="A789" i="1"/>
  <c r="A816" i="1"/>
  <c r="A412" i="1"/>
  <c r="A790" i="1"/>
  <c r="A812" i="1"/>
  <c r="A817" i="1"/>
  <c r="A818" i="1"/>
  <c r="A791" i="1"/>
  <c r="A395" i="1"/>
  <c r="A792" i="1"/>
  <c r="A819" i="1"/>
  <c r="A793" i="1"/>
  <c r="A820" i="1"/>
  <c r="A783" i="1"/>
  <c r="A794" i="1"/>
  <c r="A384" i="1"/>
  <c r="A795" i="1"/>
  <c r="A796" i="1"/>
  <c r="A797" i="1"/>
  <c r="A821" i="1"/>
  <c r="A798" i="1"/>
  <c r="A799" i="1"/>
  <c r="A822" i="1"/>
  <c r="A823" i="1"/>
  <c r="A385" i="1"/>
  <c r="A396" i="1"/>
  <c r="A800" i="1"/>
  <c r="A386" i="1"/>
  <c r="A397" i="1"/>
  <c r="A387" i="1"/>
  <c r="A398" i="1"/>
  <c r="A388" i="1"/>
  <c r="A389" i="1"/>
  <c r="A399" i="1"/>
  <c r="A801" i="1"/>
  <c r="A824" i="1"/>
  <c r="A400" i="1"/>
  <c r="A802" i="1"/>
  <c r="A394" i="1"/>
  <c r="A803" i="1"/>
  <c r="A401" i="1"/>
  <c r="A403" i="1"/>
  <c r="A834" i="1"/>
  <c r="A804" i="1"/>
  <c r="A805" i="1"/>
  <c r="A404" i="1"/>
  <c r="A390" i="1"/>
  <c r="A413" i="1"/>
  <c r="A405" i="1"/>
  <c r="A825" i="1"/>
  <c r="A806" i="1"/>
  <c r="A807" i="1"/>
  <c r="A784" i="1"/>
  <c r="A808" i="1"/>
  <c r="A826" i="1"/>
  <c r="A827" i="1"/>
  <c r="A406" i="1"/>
  <c r="A414" i="1"/>
  <c r="A407" i="1"/>
  <c r="A809" i="1"/>
  <c r="A408" i="1"/>
  <c r="A409" i="1"/>
  <c r="A415" i="1"/>
  <c r="A829" i="1"/>
  <c r="A830" i="1"/>
  <c r="A835" i="1"/>
  <c r="A391" i="1"/>
  <c r="A831" i="1"/>
  <c r="A832" i="1"/>
  <c r="A392" i="1"/>
  <c r="A810" i="1"/>
  <c r="A811" i="1"/>
  <c r="A833" i="1"/>
  <c r="A416" i="1"/>
  <c r="A393" i="1"/>
  <c r="A836" i="1"/>
  <c r="A813" i="1"/>
  <c r="A410" i="1"/>
  <c r="A411" i="1"/>
  <c r="A852" i="1"/>
  <c r="A843" i="1"/>
  <c r="A853" i="1"/>
  <c r="A838" i="1"/>
  <c r="A844" i="1"/>
  <c r="A845" i="1"/>
  <c r="A837" i="1"/>
  <c r="A839" i="1"/>
  <c r="A842" i="1"/>
  <c r="A840" i="1"/>
  <c r="A841" i="1"/>
  <c r="A846" i="1"/>
  <c r="A847" i="1"/>
  <c r="A624" i="1"/>
  <c r="A640" i="1"/>
  <c r="A635" i="1"/>
  <c r="A622" i="1"/>
  <c r="A643" i="1"/>
  <c r="A623" i="1"/>
  <c r="A627" i="1"/>
  <c r="A636" i="1"/>
  <c r="A631" i="1"/>
  <c r="A632" i="1"/>
  <c r="A633" i="1"/>
  <c r="A642" i="1"/>
  <c r="A634" i="1"/>
  <c r="A625" i="1"/>
  <c r="A626" i="1"/>
  <c r="A641" i="1"/>
  <c r="A637" i="1"/>
  <c r="A638" i="1"/>
  <c r="A639" i="1"/>
  <c r="A628" i="1"/>
  <c r="A629" i="1"/>
  <c r="A630" i="1"/>
  <c r="A364" i="1"/>
  <c r="A368" i="1"/>
  <c r="A346" i="1"/>
  <c r="A347" i="1"/>
  <c r="A374" i="1"/>
  <c r="A360" i="1"/>
  <c r="A369" i="1"/>
  <c r="A370" i="1"/>
  <c r="A355" i="1"/>
  <c r="A356" i="1"/>
  <c r="A352" i="1"/>
  <c r="A348" i="1"/>
  <c r="A375" i="1"/>
  <c r="A342" i="1"/>
  <c r="A381" i="1"/>
  <c r="A358" i="1"/>
  <c r="A357" i="1"/>
  <c r="A376" i="1"/>
  <c r="A377" i="1"/>
  <c r="A349" i="1"/>
  <c r="A367" i="1"/>
  <c r="A353" i="1"/>
  <c r="A345" i="1"/>
  <c r="A350" i="1"/>
  <c r="A351" i="1"/>
  <c r="A359" i="1"/>
  <c r="A361" i="1"/>
  <c r="A382" i="1"/>
  <c r="A341" i="1"/>
  <c r="A363" i="1"/>
  <c r="A378" i="1"/>
  <c r="A371" i="1"/>
  <c r="A372" i="1"/>
  <c r="A373" i="1"/>
  <c r="A354" i="1"/>
  <c r="A365" i="1"/>
  <c r="A366" i="1"/>
  <c r="A379" i="1"/>
  <c r="A343" i="1"/>
  <c r="A344" i="1"/>
  <c r="A362" i="1"/>
  <c r="A590" i="1"/>
  <c r="A591" i="1"/>
  <c r="A569" i="1"/>
  <c r="A567" i="1"/>
  <c r="A611" i="1"/>
  <c r="A570" i="1"/>
  <c r="A618" i="1"/>
  <c r="A592" i="1"/>
  <c r="A593" i="1"/>
  <c r="A594" i="1"/>
  <c r="A571" i="1"/>
  <c r="A572" i="1"/>
  <c r="A619" i="1"/>
  <c r="A573" i="1"/>
  <c r="A574" i="1"/>
  <c r="A612" i="1"/>
  <c r="A575" i="1"/>
  <c r="A576" i="1"/>
  <c r="A587" i="1"/>
  <c r="A613" i="1"/>
  <c r="A577" i="1"/>
  <c r="A566" i="1"/>
  <c r="A595" i="1"/>
  <c r="A596" i="1"/>
  <c r="A597" i="1"/>
  <c r="A614" i="1"/>
  <c r="A605" i="1"/>
  <c r="A578" i="1"/>
  <c r="A606" i="1"/>
  <c r="A598" i="1"/>
  <c r="A599" i="1"/>
  <c r="A615" i="1"/>
  <c r="A607" i="1"/>
  <c r="A579" i="1"/>
  <c r="A580" i="1"/>
  <c r="A608" i="1"/>
  <c r="A616" i="1"/>
  <c r="A620" i="1"/>
  <c r="A581" i="1"/>
  <c r="A582" i="1"/>
  <c r="A583" i="1"/>
  <c r="A609" i="1"/>
  <c r="A568" i="1"/>
  <c r="A600" i="1"/>
  <c r="A584" i="1"/>
  <c r="A585" i="1"/>
  <c r="A588" i="1"/>
  <c r="A617" i="1"/>
  <c r="A601" i="1"/>
  <c r="A621" i="1"/>
  <c r="A586" i="1"/>
  <c r="A602" i="1"/>
  <c r="A603" i="1"/>
  <c r="A604" i="1"/>
  <c r="A589" i="1"/>
  <c r="A682" i="1"/>
  <c r="A647" i="1"/>
  <c r="A648" i="1"/>
  <c r="A703" i="1"/>
  <c r="A649" i="1"/>
  <c r="A708" i="1"/>
  <c r="A683" i="1"/>
  <c r="A650" i="1"/>
  <c r="A709" i="1"/>
  <c r="A651" i="1"/>
  <c r="A684" i="1"/>
  <c r="A652" i="1"/>
  <c r="A653" i="1"/>
  <c r="A654" i="1"/>
  <c r="A710" i="1"/>
  <c r="A711" i="1"/>
  <c r="A655" i="1"/>
  <c r="A690" i="1"/>
  <c r="A712" i="1"/>
  <c r="A704" i="1"/>
  <c r="A713" i="1"/>
  <c r="A714" i="1"/>
  <c r="A656" i="1"/>
  <c r="A657" i="1"/>
  <c r="A658" i="1"/>
  <c r="A691" i="1"/>
  <c r="A659" i="1"/>
  <c r="A660" i="1"/>
  <c r="A705" i="1"/>
  <c r="A715" i="1"/>
  <c r="A716" i="1"/>
  <c r="A692" i="1"/>
  <c r="A693" i="1"/>
  <c r="A661" i="1"/>
  <c r="A662" i="1"/>
  <c r="A663" i="1"/>
  <c r="A644" i="1"/>
  <c r="A694" i="1"/>
  <c r="A717" i="1"/>
  <c r="A718" i="1"/>
  <c r="A688" i="1"/>
  <c r="A695" i="1"/>
  <c r="A685" i="1"/>
  <c r="A664" i="1"/>
  <c r="A696" i="1"/>
  <c r="A665" i="1"/>
  <c r="A666" i="1"/>
  <c r="A667" i="1"/>
  <c r="A719" i="1"/>
  <c r="A697" i="1"/>
  <c r="A668" i="1"/>
  <c r="A698" i="1"/>
  <c r="A669" i="1"/>
  <c r="A699" i="1"/>
  <c r="A700" i="1"/>
  <c r="A645" i="1"/>
  <c r="A706" i="1"/>
  <c r="A670" i="1"/>
  <c r="A671" i="1"/>
  <c r="A672" i="1"/>
  <c r="A701" i="1"/>
  <c r="A707" i="1"/>
  <c r="A673" i="1"/>
  <c r="A674" i="1"/>
  <c r="A686" i="1"/>
  <c r="A675" i="1"/>
  <c r="A702" i="1"/>
  <c r="A676" i="1"/>
  <c r="A677" i="1"/>
  <c r="A687" i="1"/>
  <c r="A678" i="1"/>
  <c r="A720" i="1"/>
  <c r="A689" i="1"/>
  <c r="A721" i="1"/>
  <c r="A679" i="1"/>
  <c r="A680" i="1"/>
  <c r="A681" i="1"/>
  <c r="A722" i="1"/>
  <c r="A16" i="1"/>
  <c r="A223" i="1"/>
  <c r="A224" i="1"/>
  <c r="A228" i="1"/>
  <c r="A226" i="1"/>
  <c r="A110" i="1"/>
  <c r="A98" i="1"/>
  <c r="A222" i="1"/>
  <c r="A6" i="1"/>
  <c r="A51" i="1"/>
  <c r="A50" i="1"/>
  <c r="A159" i="1"/>
  <c r="A206" i="1"/>
  <c r="A21" i="1"/>
  <c r="A81" i="1"/>
  <c r="A59" i="1"/>
  <c r="A61" i="1"/>
  <c r="A108" i="1"/>
  <c r="A52" i="1"/>
  <c r="A214" i="1"/>
  <c r="A18" i="1"/>
  <c r="A119" i="1"/>
  <c r="A60" i="1"/>
  <c r="A30" i="1"/>
  <c r="A70" i="1"/>
  <c r="A12" i="1"/>
  <c r="A78" i="1"/>
  <c r="A47" i="1"/>
  <c r="A46" i="1"/>
  <c r="A111" i="1"/>
  <c r="A221" i="1"/>
  <c r="A15" i="1"/>
  <c r="A14" i="1"/>
  <c r="A92" i="1"/>
  <c r="A112" i="1"/>
  <c r="A105" i="1"/>
  <c r="A134" i="1"/>
  <c r="A7" i="1"/>
  <c r="A151" i="1"/>
  <c r="A146" i="1"/>
  <c r="A116" i="1"/>
  <c r="A158" i="1"/>
  <c r="A140" i="1"/>
  <c r="A9" i="1"/>
  <c r="A38" i="1"/>
  <c r="A212" i="1"/>
  <c r="A227" i="1"/>
  <c r="A117" i="1"/>
  <c r="A36" i="1"/>
  <c r="A230" i="1"/>
  <c r="A115" i="1"/>
  <c r="A199" i="1"/>
  <c r="A37" i="1"/>
  <c r="A164" i="1"/>
  <c r="A65" i="1"/>
  <c r="A94" i="1"/>
  <c r="A96" i="1"/>
  <c r="A172" i="1"/>
  <c r="A190" i="1"/>
  <c r="A62" i="1"/>
  <c r="A42" i="1"/>
  <c r="A118" i="1"/>
  <c r="A74" i="1"/>
  <c r="A66" i="1"/>
  <c r="A53" i="1"/>
  <c r="A225" i="1"/>
  <c r="A195" i="1"/>
  <c r="A40" i="1"/>
  <c r="A139" i="1"/>
  <c r="A189" i="1"/>
  <c r="A166" i="1"/>
  <c r="A148" i="1"/>
  <c r="A204" i="1"/>
  <c r="A85" i="1"/>
  <c r="A218" i="1"/>
  <c r="A27" i="1"/>
  <c r="A161" i="1"/>
  <c r="A142" i="1"/>
  <c r="A155" i="1"/>
  <c r="A153" i="1"/>
  <c r="A154" i="1"/>
  <c r="A210" i="1"/>
  <c r="A144" i="1"/>
  <c r="A124" i="1"/>
  <c r="A125" i="1"/>
  <c r="A141" i="1"/>
  <c r="A192" i="1"/>
  <c r="A193" i="1"/>
  <c r="A194" i="1"/>
  <c r="A152" i="1"/>
  <c r="A75" i="1"/>
  <c r="A185" i="1"/>
  <c r="A150" i="1"/>
  <c r="A76" i="1"/>
  <c r="A68" i="1"/>
  <c r="A79" i="1"/>
  <c r="A167" i="1"/>
  <c r="A169" i="1"/>
  <c r="A71" i="1"/>
  <c r="A77" i="1"/>
  <c r="A103" i="1"/>
  <c r="A106" i="1"/>
  <c r="A211" i="1"/>
  <c r="A205" i="1"/>
  <c r="A102" i="1"/>
  <c r="A104" i="1"/>
  <c r="A107" i="1"/>
  <c r="A86" i="1"/>
  <c r="A207" i="1"/>
  <c r="A213" i="1"/>
  <c r="A217" i="1"/>
  <c r="A91" i="1"/>
  <c r="A89" i="1"/>
  <c r="A93" i="1"/>
  <c r="A101" i="1"/>
  <c r="A35" i="1"/>
  <c r="A191" i="1"/>
  <c r="A208" i="1"/>
  <c r="A41" i="1"/>
  <c r="A20" i="1"/>
  <c r="A97" i="1"/>
  <c r="A72" i="1"/>
  <c r="A209" i="1"/>
  <c r="A168" i="1"/>
  <c r="A43" i="1"/>
  <c r="A197" i="1"/>
  <c r="A143" i="1"/>
  <c r="A44" i="1"/>
  <c r="A80" i="1"/>
  <c r="A121" i="1"/>
  <c r="A202" i="1"/>
  <c r="A56" i="1"/>
  <c r="A48" i="1"/>
  <c r="A147" i="1"/>
  <c r="A162" i="1"/>
  <c r="A196" i="1"/>
  <c r="A28" i="1"/>
  <c r="A63" i="1"/>
  <c r="A23" i="1"/>
  <c r="A67" i="1"/>
  <c r="A100" i="1"/>
  <c r="A165" i="1"/>
  <c r="A64" i="1"/>
  <c r="A170" i="1"/>
  <c r="A187" i="1"/>
  <c r="A82" i="1"/>
  <c r="A186" i="1"/>
  <c r="A171" i="1"/>
  <c r="A83" i="1"/>
  <c r="A109" i="1"/>
  <c r="A182" i="1"/>
  <c r="A29" i="1"/>
  <c r="A113" i="1"/>
  <c r="A114" i="1"/>
  <c r="A19" i="1"/>
  <c r="A215" i="1"/>
  <c r="A39" i="1"/>
  <c r="A175" i="1"/>
  <c r="A120" i="1"/>
  <c r="A173" i="1"/>
  <c r="A200" i="1"/>
  <c r="A149" i="1"/>
  <c r="A123" i="1"/>
  <c r="A3" i="1"/>
  <c r="A5" i="1"/>
  <c r="A32" i="1"/>
  <c r="A33" i="1"/>
  <c r="A137" i="1"/>
  <c r="A95" i="1"/>
  <c r="A216" i="1"/>
  <c r="A183" i="1"/>
  <c r="A135" i="1"/>
  <c r="A24" i="1"/>
  <c r="A160" i="1"/>
  <c r="A229" i="1"/>
  <c r="A198" i="1"/>
  <c r="A73" i="1"/>
  <c r="A203" i="1"/>
  <c r="A177" i="1"/>
  <c r="A57" i="1"/>
  <c r="A201" i="1"/>
  <c r="A133" i="1"/>
  <c r="A131" i="1"/>
  <c r="A219" i="1"/>
  <c r="A58" i="1"/>
  <c r="A132" i="1"/>
  <c r="A54" i="1"/>
  <c r="A129" i="1"/>
  <c r="A45" i="1"/>
  <c r="A8" i="1"/>
  <c r="A25" i="1"/>
  <c r="A49" i="1"/>
  <c r="A174" i="1"/>
  <c r="A4" i="1"/>
  <c r="A31" i="1"/>
  <c r="A26" i="1"/>
  <c r="A34" i="1"/>
  <c r="A176" i="1"/>
  <c r="A178" i="1"/>
  <c r="A145" i="1"/>
  <c r="A69" i="1"/>
  <c r="A17" i="1"/>
  <c r="A156" i="1"/>
  <c r="A188" i="1"/>
  <c r="A181" i="1"/>
  <c r="A179" i="1"/>
  <c r="A130" i="1"/>
  <c r="A128" i="1"/>
  <c r="A11" i="1"/>
  <c r="A180" i="1"/>
  <c r="A126" i="1"/>
  <c r="A127" i="1"/>
  <c r="A55" i="1"/>
  <c r="A184" i="1"/>
  <c r="A87" i="1"/>
  <c r="A88" i="1"/>
  <c r="A84" i="1"/>
  <c r="A136" i="1"/>
  <c r="A13" i="1"/>
  <c r="A10" i="1"/>
  <c r="A157" i="1"/>
  <c r="A264" i="1"/>
  <c r="A282" i="1"/>
  <c r="A281" i="1"/>
  <c r="A270" i="1"/>
  <c r="A279" i="1"/>
  <c r="A268" i="1"/>
  <c r="A285" i="1"/>
  <c r="A242" i="1"/>
  <c r="A266" i="1"/>
  <c r="A263" i="1"/>
  <c r="A275" i="1"/>
  <c r="A276" i="1"/>
  <c r="A250" i="1"/>
  <c r="A262" i="1"/>
  <c r="A252" i="1"/>
  <c r="A247" i="1"/>
  <c r="A274" i="1"/>
  <c r="A248" i="1"/>
  <c r="A265" i="1"/>
  <c r="A258" i="1"/>
  <c r="A259" i="1"/>
  <c r="A260" i="1"/>
  <c r="A261" i="1"/>
  <c r="A245" i="1"/>
  <c r="A289" i="1"/>
  <c r="A244" i="1"/>
  <c r="A287" i="1"/>
  <c r="A267" i="1"/>
  <c r="A253" i="1"/>
  <c r="A251" i="1"/>
  <c r="A243" i="1"/>
  <c r="A286" i="1"/>
  <c r="A269" i="1"/>
  <c r="A280" i="1"/>
  <c r="A283" i="1"/>
  <c r="A246" i="1"/>
  <c r="A271" i="1"/>
  <c r="A272" i="1"/>
  <c r="A257" i="1"/>
  <c r="A255" i="1"/>
  <c r="A249" i="1"/>
  <c r="A288" i="1"/>
  <c r="A256" i="1"/>
  <c r="A278" i="1"/>
  <c r="A284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1" i="1"/>
  <c r="A542" i="1"/>
  <c r="A561" i="1"/>
  <c r="A562" i="1"/>
  <c r="A549" i="1"/>
  <c r="A558" i="1"/>
  <c r="A559" i="1"/>
  <c r="A554" i="1"/>
  <c r="A553" i="1"/>
  <c r="A560" i="1"/>
  <c r="A547" i="1"/>
  <c r="A543" i="1"/>
  <c r="A557" i="1"/>
  <c r="A556" i="1"/>
  <c r="A540" i="1"/>
  <c r="A551" i="1"/>
  <c r="A563" i="1"/>
  <c r="A544" i="1"/>
  <c r="A548" i="1"/>
  <c r="A552" i="1"/>
  <c r="A545" i="1"/>
  <c r="A546" i="1"/>
  <c r="A565" i="1"/>
  <c r="A564" i="1"/>
  <c r="A555" i="1"/>
  <c r="A550" i="1"/>
  <c r="A501" i="1"/>
  <c r="A487" i="1"/>
  <c r="A490" i="1"/>
  <c r="A503" i="1"/>
  <c r="A498" i="1"/>
  <c r="A494" i="1"/>
  <c r="A497" i="1"/>
  <c r="A488" i="1"/>
  <c r="A506" i="1"/>
  <c r="A505" i="1"/>
  <c r="A502" i="1"/>
  <c r="A486" i="1"/>
  <c r="A499" i="1"/>
  <c r="A500" i="1"/>
  <c r="A480" i="1"/>
  <c r="A511" i="1"/>
  <c r="A493" i="1"/>
  <c r="A484" i="1"/>
  <c r="A491" i="1"/>
  <c r="A482" i="1"/>
  <c r="A479" i="1"/>
  <c r="A510" i="1"/>
  <c r="A508" i="1"/>
  <c r="A478" i="1"/>
  <c r="A509" i="1"/>
  <c r="A507" i="1"/>
  <c r="A481" i="1"/>
  <c r="A476" i="1"/>
  <c r="A492" i="1"/>
  <c r="A485" i="1"/>
  <c r="A496" i="1"/>
  <c r="A477" i="1"/>
  <c r="A489" i="1"/>
  <c r="A483" i="1"/>
  <c r="A504" i="1"/>
</calcChain>
</file>

<file path=xl/sharedStrings.xml><?xml version="1.0" encoding="utf-8"?>
<sst xmlns="http://schemas.openxmlformats.org/spreadsheetml/2006/main" count="4688" uniqueCount="1385">
  <si>
    <t>id</t>
  </si>
  <si>
    <t>institutionCode</t>
  </si>
  <si>
    <t>catalogNumber</t>
  </si>
  <si>
    <t>year</t>
  </si>
  <si>
    <t>leaf_tissue</t>
  </si>
  <si>
    <t>notes</t>
  </si>
  <si>
    <t>OBI</t>
  </si>
  <si>
    <t>flw_color</t>
  </si>
  <si>
    <t>OBI101739</t>
  </si>
  <si>
    <t>buds w extra</t>
  </si>
  <si>
    <t>OBI101734</t>
  </si>
  <si>
    <t>yes, basal</t>
  </si>
  <si>
    <t>yellow (on label)</t>
  </si>
  <si>
    <t>label notes "white, purple, and apricot" flws in same pop</t>
  </si>
  <si>
    <t>OBI101736</t>
  </si>
  <si>
    <t>herbivory</t>
  </si>
  <si>
    <t>OBI101737</t>
  </si>
  <si>
    <t>yes, basal, but dry/yellowed</t>
  </si>
  <si>
    <t>yes, cauline with basal morphology</t>
  </si>
  <si>
    <t>OBI101738</t>
  </si>
  <si>
    <t>maybe pink? Pink looking</t>
  </si>
  <si>
    <t>OBI101784</t>
  </si>
  <si>
    <t>OBI101785</t>
  </si>
  <si>
    <t>OBI101786</t>
  </si>
  <si>
    <t>minor herbivory, purple on sheet</t>
  </si>
  <si>
    <t>purple on sheet</t>
  </si>
  <si>
    <t>herbivory, purple (on label)</t>
  </si>
  <si>
    <t>OBI101787</t>
  </si>
  <si>
    <t>OBI101774</t>
  </si>
  <si>
    <t>purple to white (on label), and purple on sheet</t>
  </si>
  <si>
    <t>OBI101775</t>
  </si>
  <si>
    <t>OBI101783</t>
  </si>
  <si>
    <t>OBI101778</t>
  </si>
  <si>
    <t>OBI101779</t>
  </si>
  <si>
    <t>yes, cauline, not basal morphology</t>
  </si>
  <si>
    <t>OBI101772</t>
  </si>
  <si>
    <t>OBI101760</t>
  </si>
  <si>
    <t>OBI101761</t>
  </si>
  <si>
    <t>purple or white flowers (on label)</t>
  </si>
  <si>
    <t>purple and white (on label), also purple on sheet</t>
  </si>
  <si>
    <t>pink-purple becoming white with age (on label), also purple on sheet</t>
  </si>
  <si>
    <t>OBI183593</t>
  </si>
  <si>
    <t>OBI101765</t>
  </si>
  <si>
    <t>OBI161552</t>
  </si>
  <si>
    <t>OBI204065</t>
  </si>
  <si>
    <t>OBI204067</t>
  </si>
  <si>
    <t>OBI213742</t>
  </si>
  <si>
    <t>OBI101767</t>
  </si>
  <si>
    <t>pink/purple on sheet</t>
  </si>
  <si>
    <t>OBI101768</t>
  </si>
  <si>
    <t>OBI101752</t>
  </si>
  <si>
    <t>OBI101753</t>
  </si>
  <si>
    <t>OBI101756</t>
  </si>
  <si>
    <t>OBI101757</t>
  </si>
  <si>
    <t>OBI101747</t>
  </si>
  <si>
    <t>white *on label and sheet, from mixed color pop)</t>
  </si>
  <si>
    <t>OBI101750</t>
  </si>
  <si>
    <t>lavender flowers (on label), and on sheet</t>
  </si>
  <si>
    <t>OBI101744</t>
  </si>
  <si>
    <t>OBI101740</t>
  </si>
  <si>
    <t>purple and white, label and sheet</t>
  </si>
  <si>
    <t>OBI101741</t>
  </si>
  <si>
    <t>buds w extra, tiny lf</t>
  </si>
  <si>
    <t>UCSB</t>
  </si>
  <si>
    <t>UCSB050289</t>
  </si>
  <si>
    <t>UCSB044460</t>
  </si>
  <si>
    <t>tan on sheet</t>
  </si>
  <si>
    <t>UCSB038863</t>
  </si>
  <si>
    <t>UCSB033414</t>
  </si>
  <si>
    <t>UCSB031991</t>
  </si>
  <si>
    <t>white, purple sepals on sheet</t>
  </si>
  <si>
    <t>UCSB031992</t>
  </si>
  <si>
    <t>UCSB031993</t>
  </si>
  <si>
    <t>yellow w purplish veins (on label)</t>
  </si>
  <si>
    <t>buds NO extra</t>
  </si>
  <si>
    <t>UCSB031994</t>
  </si>
  <si>
    <t>UCSB031995</t>
  </si>
  <si>
    <t>flws yellow (on label) sepals purple on sheet</t>
  </si>
  <si>
    <t>white dark veins on sheet</t>
  </si>
  <si>
    <t>UCSB031996</t>
  </si>
  <si>
    <t>UCSB054632</t>
  </si>
  <si>
    <t>purple with whit (on label)</t>
  </si>
  <si>
    <t>UCSB031997</t>
  </si>
  <si>
    <t>purplelish (label and sheet)</t>
  </si>
  <si>
    <t>UCSB031998</t>
  </si>
  <si>
    <t>light purple on sheet</t>
  </si>
  <si>
    <t>UCSB032000</t>
  </si>
  <si>
    <t>UCSB032001</t>
  </si>
  <si>
    <t>light pink on sheet, purple on label</t>
  </si>
  <si>
    <t>UCSB032004</t>
  </si>
  <si>
    <t>UCSB032009</t>
  </si>
  <si>
    <t>UCSB032011</t>
  </si>
  <si>
    <t>light pink on sheet</t>
  </si>
  <si>
    <t>UCSB032012</t>
  </si>
  <si>
    <t>purple (label and sheet)</t>
  </si>
  <si>
    <t>UCSB032017</t>
  </si>
  <si>
    <t>UCSB032019</t>
  </si>
  <si>
    <t>white on sheet</t>
  </si>
  <si>
    <t>UCSB041178</t>
  </si>
  <si>
    <t>UCSB032021</t>
  </si>
  <si>
    <t>purple and white on sheet</t>
  </si>
  <si>
    <t>UCSB032023</t>
  </si>
  <si>
    <t>UCSB032024</t>
  </si>
  <si>
    <t>yes, basal (and small piece cauline, ragged margin)</t>
  </si>
  <si>
    <t>purple</t>
  </si>
  <si>
    <t>UCSB032025</t>
  </si>
  <si>
    <t>UCSB032026</t>
  </si>
  <si>
    <t>UCSB032027</t>
  </si>
  <si>
    <t>UCSB032028</t>
  </si>
  <si>
    <t>UCSB032029</t>
  </si>
  <si>
    <t>no</t>
  </si>
  <si>
    <t>UCSB032030</t>
  </si>
  <si>
    <t>UCSB032031</t>
  </si>
  <si>
    <t>UCSB032033</t>
  </si>
  <si>
    <t>UCSB050386</t>
  </si>
  <si>
    <t>tan with dark veins on sheet</t>
  </si>
  <si>
    <t>yes, basal (wet??)</t>
  </si>
  <si>
    <t>UCSB041759</t>
  </si>
  <si>
    <t>UCSB040101</t>
  </si>
  <si>
    <t>UCSB040102</t>
  </si>
  <si>
    <t>white to purple flws (on label)</t>
  </si>
  <si>
    <t>UCSB032053</t>
  </si>
  <si>
    <t>UCSB032054</t>
  </si>
  <si>
    <t>white to purple (label and sheet)</t>
  </si>
  <si>
    <t>UCSB032056</t>
  </si>
  <si>
    <t>UCSB032057</t>
  </si>
  <si>
    <t>UCSB032059</t>
  </si>
  <si>
    <t>white to lavender (on label)</t>
  </si>
  <si>
    <t>buds &amp; tiny lf</t>
  </si>
  <si>
    <t>UCSB032060</t>
  </si>
  <si>
    <t>UCSB032061</t>
  </si>
  <si>
    <t>UCSB032064</t>
  </si>
  <si>
    <t>UCSB032063</t>
  </si>
  <si>
    <t>white and purple on sheet</t>
  </si>
  <si>
    <t>UCSB032066</t>
  </si>
  <si>
    <t>UCSB032036</t>
  </si>
  <si>
    <t>UCSB032037</t>
  </si>
  <si>
    <t>purple and white in envelope, whit on sheet</t>
  </si>
  <si>
    <t>UCSB032039</t>
  </si>
  <si>
    <t>UCSB032040</t>
  </si>
  <si>
    <t>UCSB032041</t>
  </si>
  <si>
    <t>UCSB032049</t>
  </si>
  <si>
    <t>"orchid on yellow, veins purple (on label)</t>
  </si>
  <si>
    <t>"petals white, veins distinct green and yellow"</t>
  </si>
  <si>
    <t>UCSB032047</t>
  </si>
  <si>
    <t>not in original list of samples to collect - opportunisitc</t>
  </si>
  <si>
    <t xml:space="preserve">reason </t>
  </si>
  <si>
    <t>didn't get first time and would be good to have</t>
  </si>
  <si>
    <t>failed extraction but want the sample</t>
  </si>
  <si>
    <t>how important</t>
  </si>
  <si>
    <t>medium</t>
  </si>
  <si>
    <t>id_formula</t>
  </si>
  <si>
    <t>didn't get first time and would be good to have - also redundant ish with a faild extraction (215180)</t>
  </si>
  <si>
    <t>high/medium</t>
  </si>
  <si>
    <t>Herbarium_ID</t>
  </si>
  <si>
    <t>UCSB032043</t>
  </si>
  <si>
    <t>OBI166658</t>
  </si>
  <si>
    <t>OBI166657</t>
  </si>
  <si>
    <t>UCSB032035</t>
  </si>
  <si>
    <t>high, fairly old with lots or recent nearby</t>
  </si>
  <si>
    <t>UCSB032034</t>
  </si>
  <si>
    <t>in the good modern samp area and oldest in that lilzone</t>
  </si>
  <si>
    <t>medium/low</t>
  </si>
  <si>
    <t>in area with lots others</t>
  </si>
  <si>
    <t>UCSB031999</t>
  </si>
  <si>
    <t>UCSB032018</t>
  </si>
  <si>
    <t>UCSC100000689</t>
  </si>
  <si>
    <t>UCSC100000688</t>
  </si>
  <si>
    <t>spp notes</t>
  </si>
  <si>
    <t>labeled raphanistrum, and could be! Very constricted sml fruits, BUT no swollen root</t>
  </si>
  <si>
    <t>white, but older flw pink, dark veins</t>
  </si>
  <si>
    <t>buds, and apicle cluster (extra big buds)</t>
  </si>
  <si>
    <t>yes, basal morphology (unclear if cauline bc not attached to plant</t>
  </si>
  <si>
    <t>white, dark verins (bleeding pinkish in older</t>
  </si>
  <si>
    <t>labeled raphanistrum, but for sure hybrid - long fruit beak (~1.5cm+, 1cm or less is typical for raphanistrum), not super constricted, maybe pink colorarion on flower (maybe age and bleeding from veins?)</t>
  </si>
  <si>
    <t>UCSC</t>
  </si>
  <si>
    <t>UCSC100003126</t>
  </si>
  <si>
    <t>labeled sativus, likely hybrid but no morpho confirmation bc not in fruit</t>
  </si>
  <si>
    <t>UCSC100006703</t>
  </si>
  <si>
    <t xml:space="preserve">2+ axillary bud clusters </t>
  </si>
  <si>
    <t>2+ axillary bud clusters + extra buds</t>
  </si>
  <si>
    <t>purple tips, dark veins (on sheet… label says yellow-white corolla… wrong I thinkk)</t>
  </si>
  <si>
    <t>purple tips, dark veins (on sheet and label)</t>
  </si>
  <si>
    <t>UCSC100003138</t>
  </si>
  <si>
    <t>multiple axillary bud clusters + a few buds</t>
  </si>
  <si>
    <t>white, dark veins (on sheet and label)</t>
  </si>
  <si>
    <t>UCSC100006685</t>
  </si>
  <si>
    <t>multiple axillary bud clusters + extra sml leaves and buds</t>
  </si>
  <si>
    <t>white dark veins (on label and sheet)</t>
  </si>
  <si>
    <t>UCSC100006704</t>
  </si>
  <si>
    <t xml:space="preserve">2 big axillary bud clusters + a bud </t>
  </si>
  <si>
    <t>UCSC100000693</t>
  </si>
  <si>
    <t>purple small white center dark veins (on sheet)</t>
  </si>
  <si>
    <t>whitish purple dark veins (on label and sheet)</t>
  </si>
  <si>
    <t>labeled sativus, would consider raphanistrum based on constrictions in fruit, short beak, but could be hybrid still based on timing (1983) and label saying pinkish flowers</t>
  </si>
  <si>
    <t>UCSC100000690</t>
  </si>
  <si>
    <t>axillary bud clusters +</t>
  </si>
  <si>
    <t>White, light veins on sheet (maybe dark veins?)</t>
  </si>
  <si>
    <t>UCSC100000696</t>
  </si>
  <si>
    <t>bud clusters</t>
  </si>
  <si>
    <t>UCSC100000691</t>
  </si>
  <si>
    <t>labeled sativus, possible hybrid based on fruit morphology (some constriction around seeds) and date</t>
  </si>
  <si>
    <t>White, very bleedy purple veins - maybe light purple flowers (on sheet)</t>
  </si>
  <si>
    <t>UCSC100000692</t>
  </si>
  <si>
    <t>easter pink!pink veins. Very smooth, hairless buds</t>
  </si>
  <si>
    <r>
      <t xml:space="preserve">almost certainly true </t>
    </r>
    <r>
      <rPr>
        <i/>
        <sz val="12"/>
        <color theme="1"/>
        <rFont val="Aptos Narrow"/>
        <scheme val="minor"/>
      </rPr>
      <t>R. sativus</t>
    </r>
    <r>
      <rPr>
        <sz val="12"/>
        <color theme="1"/>
        <rFont val="Aptos Narrow"/>
        <scheme val="minor"/>
      </rPr>
      <t>, but will need genetics to confirm</t>
    </r>
  </si>
  <si>
    <t>UCSC100000694</t>
  </si>
  <si>
    <t>white, to beige (young) on sheet, drk? Veins</t>
  </si>
  <si>
    <t>UCSC100000695</t>
  </si>
  <si>
    <t>purple drk veins on sheet</t>
  </si>
  <si>
    <t>UCSC100000697</t>
  </si>
  <si>
    <t>few bud clusters</t>
  </si>
  <si>
    <t>UCSC100000698</t>
  </si>
  <si>
    <t>white, to beige (young) on sheet, dark veins</t>
  </si>
  <si>
    <t>UCSC100006681</t>
  </si>
  <si>
    <t>labeled sativus, likely hybrid but no morpho confirmation</t>
  </si>
  <si>
    <t>axillary buds +?</t>
  </si>
  <si>
    <t>very hairy</t>
  </si>
  <si>
    <t>hairy</t>
  </si>
  <si>
    <t>SDSU</t>
  </si>
  <si>
    <t>SDSU01212</t>
  </si>
  <si>
    <t>white dark veins on sheet (dark purple? Brown? Lighter at petal base…)</t>
  </si>
  <si>
    <t>young fruit (to test) &amp; 2 lil buds (remove to try fruit extraction)</t>
  </si>
  <si>
    <t>SDSU01218</t>
  </si>
  <si>
    <t>2 crappy bud clusters - most buds fallen off, 1 lil leaf</t>
  </si>
  <si>
    <t>yes, cauline, intermediate morphology</t>
  </si>
  <si>
    <t>white light veins (maybe green or brown but light)</t>
  </si>
  <si>
    <t>herbivore damage</t>
  </si>
  <si>
    <t>clear constriction around seeds in fruit, long beaks</t>
  </si>
  <si>
    <t>SDSU01219</t>
  </si>
  <si>
    <t>white dark veins (dark purple I think)</t>
  </si>
  <si>
    <t>multiple good axillary bud clusters</t>
  </si>
  <si>
    <t>extra tissue</t>
  </si>
  <si>
    <t>SDSU01729</t>
  </si>
  <si>
    <t>young fruits, 2 smll crap buds</t>
  </si>
  <si>
    <t>purple tip dark veins</t>
  </si>
  <si>
    <t>SDSU01215</t>
  </si>
  <si>
    <t>purple, dark purple veins</t>
  </si>
  <si>
    <t>SDSU01216</t>
  </si>
  <si>
    <t>3 tiny axillary buds</t>
  </si>
  <si>
    <t>one apical bud cluster</t>
  </si>
  <si>
    <t>purple brownish veins</t>
  </si>
  <si>
    <t xml:space="preserve"> </t>
  </si>
  <si>
    <t>SDSU01217</t>
  </si>
  <si>
    <t>purple veins, probs purple petals but brown on sheet</t>
  </si>
  <si>
    <t>SDSU01220</t>
  </si>
  <si>
    <t>multiple axillary bud clusters</t>
  </si>
  <si>
    <t>SDSU01221</t>
  </si>
  <si>
    <t>extra tissue; purplish stems</t>
  </si>
  <si>
    <t>SDSU01222</t>
  </si>
  <si>
    <t>extra tissue; less hairy than most and more pointed lobes</t>
  </si>
  <si>
    <t>SDSU01223</t>
  </si>
  <si>
    <t>SDSU01231</t>
  </si>
  <si>
    <t>dark purple, drk veins on sheet</t>
  </si>
  <si>
    <t>3 axillary bud clusters</t>
  </si>
  <si>
    <t>extra(?)</t>
  </si>
  <si>
    <t>fairly constricted around fruits</t>
  </si>
  <si>
    <t>SDSU01225</t>
  </si>
  <si>
    <t>white drk veins</t>
  </si>
  <si>
    <t>axillary buds and pedicels</t>
  </si>
  <si>
    <t>SDSU01237</t>
  </si>
  <si>
    <t>SDSU01249</t>
  </si>
  <si>
    <t>axillary bud clusters and young leaf</t>
  </si>
  <si>
    <t>SDSU25094</t>
  </si>
  <si>
    <t xml:space="preserve">2 big axillary bud clusters </t>
  </si>
  <si>
    <t>extra tissue (?)</t>
  </si>
  <si>
    <t>SDSU15560</t>
  </si>
  <si>
    <t>few axillary buds</t>
  </si>
  <si>
    <t>SDSU15680</t>
  </si>
  <si>
    <t>less hairy than most, not much constriction</t>
  </si>
  <si>
    <t>big fruits, not very constricted maturity</t>
  </si>
  <si>
    <t>SDSU19512</t>
  </si>
  <si>
    <t>few axillary buds + some big buds</t>
  </si>
  <si>
    <t>SDSU19952</t>
  </si>
  <si>
    <t>buds, maybe an axillary bud</t>
  </si>
  <si>
    <t>very constricted around fruits</t>
  </si>
  <si>
    <t>SDSU19995</t>
  </si>
  <si>
    <t>multiple individuals on sheet, sampled small plant with full roots on left side of sheet</t>
  </si>
  <si>
    <t>SDSU21677</t>
  </si>
  <si>
    <t>FSC</t>
  </si>
  <si>
    <t>FSC0010441</t>
  </si>
  <si>
    <t>2 floral bud clusters</t>
  </si>
  <si>
    <t>FSC0010443</t>
  </si>
  <si>
    <t>3 axillary buds and one young leaf</t>
  </si>
  <si>
    <t>FSC0010444</t>
  </si>
  <si>
    <t>white dark veins on sheet, purple bracts</t>
  </si>
  <si>
    <t>4 bud clusters</t>
  </si>
  <si>
    <t>FSC0010445</t>
  </si>
  <si>
    <t>3 buds and stem bit</t>
  </si>
  <si>
    <t>purple tip dark veins on sheet</t>
  </si>
  <si>
    <t>FSC0010446</t>
  </si>
  <si>
    <t>2 big bud clusters</t>
  </si>
  <si>
    <t>unclear (maybe yellow, brown drk veins)</t>
  </si>
  <si>
    <t>FSC0010447</t>
  </si>
  <si>
    <t>2 bud clusters</t>
  </si>
  <si>
    <t>FSC0010448</t>
  </si>
  <si>
    <t>yellow aging white (on label)</t>
  </si>
  <si>
    <t>FSC0010449</t>
  </si>
  <si>
    <t>several bud clusters</t>
  </si>
  <si>
    <t>FSC0010450</t>
  </si>
  <si>
    <t>light purple, drk veins on sheet</t>
  </si>
  <si>
    <t>FSC0010451</t>
  </si>
  <si>
    <t>FSC0010452</t>
  </si>
  <si>
    <t>FSC0010453</t>
  </si>
  <si>
    <t>2 floral buds</t>
  </si>
  <si>
    <t>FSC0010454</t>
  </si>
  <si>
    <t>yellow on label</t>
  </si>
  <si>
    <t>FSC0010455</t>
  </si>
  <si>
    <t>FSC0010456</t>
  </si>
  <si>
    <t>FSC0010457</t>
  </si>
  <si>
    <t>3 bud clusters</t>
  </si>
  <si>
    <t>purple flowers drk veins</t>
  </si>
  <si>
    <t>FSC0010458</t>
  </si>
  <si>
    <t>FSC0010459</t>
  </si>
  <si>
    <t>noted might be hybrid on label (constricted fruits and dark purple flowers)</t>
  </si>
  <si>
    <t>FSC0010460</t>
  </si>
  <si>
    <t>FSC0010461</t>
  </si>
  <si>
    <t>1965?</t>
  </si>
  <si>
    <t>FSC0010462</t>
  </si>
  <si>
    <t>FSC0010463</t>
  </si>
  <si>
    <t>extra leaf circle and tissue</t>
  </si>
  <si>
    <t>FSC0010464</t>
  </si>
  <si>
    <t>no flowers</t>
  </si>
  <si>
    <t>leaf tissue only available</t>
  </si>
  <si>
    <t>FSC0010465</t>
  </si>
  <si>
    <t>FSC0010466</t>
  </si>
  <si>
    <t>FSC0010467</t>
  </si>
  <si>
    <t>white, yellowish veins on label</t>
  </si>
  <si>
    <t>FSC0010468</t>
  </si>
  <si>
    <t>white blue veins or yellow on label</t>
  </si>
  <si>
    <t>FSC0010469</t>
  </si>
  <si>
    <t>FSC0010470</t>
  </si>
  <si>
    <t>FSC0010471</t>
  </si>
  <si>
    <t>purple on sheet and label</t>
  </si>
  <si>
    <t>FSC0010472</t>
  </si>
  <si>
    <t>FSC0010473</t>
  </si>
  <si>
    <t>1 bud cluster</t>
  </si>
  <si>
    <t>2 extra big buds</t>
  </si>
  <si>
    <t>whit with dark veins on sheet</t>
  </si>
  <si>
    <t>FSC0010474</t>
  </si>
  <si>
    <t>3 bud clusters and lil leaf</t>
  </si>
  <si>
    <t>FSC0010475</t>
  </si>
  <si>
    <t>multiple big bud clusters</t>
  </si>
  <si>
    <t>FSC0010476</t>
  </si>
  <si>
    <t>pale yellow on sheet</t>
  </si>
  <si>
    <t>FSC0010477</t>
  </si>
  <si>
    <t>multiple bud clusters</t>
  </si>
  <si>
    <t>FSC0010478</t>
  </si>
  <si>
    <t>White, light veins on sheet</t>
  </si>
  <si>
    <t>FSC0010479</t>
  </si>
  <si>
    <t>2 bud clusters and lil leaf</t>
  </si>
  <si>
    <t>FSC0010480</t>
  </si>
  <si>
    <t>FSC0010481</t>
  </si>
  <si>
    <t>white on label and sheet, light veins</t>
  </si>
  <si>
    <t>3 buds and some leaf bits</t>
  </si>
  <si>
    <t>FSC0010482</t>
  </si>
  <si>
    <t>?</t>
  </si>
  <si>
    <t>FSC0010483</t>
  </si>
  <si>
    <t>yellow, greenish veins</t>
  </si>
  <si>
    <t>SD</t>
  </si>
  <si>
    <t>SD00062729</t>
  </si>
  <si>
    <t>yes, unknown but appears to have basal morphology</t>
  </si>
  <si>
    <t>tissue from fragment envelope</t>
  </si>
  <si>
    <t>mature leaf and one flw bud</t>
  </si>
  <si>
    <t>purple and white (label and sheet) dark veins</t>
  </si>
  <si>
    <t>SD00062726</t>
  </si>
  <si>
    <t>1 apical bud cluster</t>
  </si>
  <si>
    <t>pink and with (label and sheet)</t>
  </si>
  <si>
    <t>SD00062725</t>
  </si>
  <si>
    <t>yes, cauline</t>
  </si>
  <si>
    <t>SD00062667</t>
  </si>
  <si>
    <t>SD00062724</t>
  </si>
  <si>
    <t>big bud clusters</t>
  </si>
  <si>
    <t>SD00062671</t>
  </si>
  <si>
    <t>SD00062697</t>
  </si>
  <si>
    <t>bud clusters and yound leaves</t>
  </si>
  <si>
    <t>extra tissue (leaves likely with some glue)</t>
  </si>
  <si>
    <t>2 apical bud clusters</t>
  </si>
  <si>
    <t>SD00062698</t>
  </si>
  <si>
    <t xml:space="preserve">purple and white (label and sheet) </t>
  </si>
  <si>
    <t>SD00062701</t>
  </si>
  <si>
    <t>no hairs on buds</t>
  </si>
  <si>
    <t>SD00062590</t>
  </si>
  <si>
    <t>SD00060083</t>
  </si>
  <si>
    <t>white with pink veins/light purple on sheet</t>
  </si>
  <si>
    <t>clusters and big bud</t>
  </si>
  <si>
    <t>SD00062561</t>
  </si>
  <si>
    <t>SD00062738</t>
  </si>
  <si>
    <t>several bud clusters and extra buds</t>
  </si>
  <si>
    <t>SD00062739</t>
  </si>
  <si>
    <t>pink and white on sheet</t>
  </si>
  <si>
    <t>SD00062562</t>
  </si>
  <si>
    <t>white dark verins on sheet</t>
  </si>
  <si>
    <t>yes, intermediate</t>
  </si>
  <si>
    <t>2 big axiallary bud clusters</t>
  </si>
  <si>
    <t>SD00062791</t>
  </si>
  <si>
    <t>yes, cauline, some glue present</t>
  </si>
  <si>
    <t>white, dark purple veins on sheet</t>
  </si>
  <si>
    <t>some small flower buds, tiny axillary bud, one floral meristem</t>
  </si>
  <si>
    <t>SD00030202</t>
  </si>
  <si>
    <t>white dark veins on sheet (brown not putple veins I think, not red sepals like previous specimen with purple veins)</t>
  </si>
  <si>
    <t>several tiny axillary buds</t>
  </si>
  <si>
    <t>extra tissue; tiny bud with some glue</t>
  </si>
  <si>
    <t>SD00062792</t>
  </si>
  <si>
    <t>light pink on sheet; pinkish on label</t>
  </si>
  <si>
    <t>1 axillary bud; 2 floral bud clusters; loose buds</t>
  </si>
  <si>
    <t>SD00061955</t>
  </si>
  <si>
    <t>1 axiallary bud; 2 flower bud clusters</t>
  </si>
  <si>
    <t>SD00062793</t>
  </si>
  <si>
    <t>white on sheet and label, dark veins</t>
  </si>
  <si>
    <t>SD00062564</t>
  </si>
  <si>
    <t>few floral bud clusters</t>
  </si>
  <si>
    <t>pollen present; extra tissue</t>
  </si>
  <si>
    <t>SD00062794</t>
  </si>
  <si>
    <t>1 axiallary bud, 2 floral bud clusters, small leaf</t>
  </si>
  <si>
    <t>very likely sativus</t>
  </si>
  <si>
    <t>SD00062796</t>
  </si>
  <si>
    <t>2 axiallary buds, small leaf</t>
  </si>
  <si>
    <t>glue on leaf tissue</t>
  </si>
  <si>
    <t>SD00062776</t>
  </si>
  <si>
    <t xml:space="preserve">extra tissue </t>
  </si>
  <si>
    <t>white on sheet, lavender on label</t>
  </si>
  <si>
    <t>SD00087803</t>
  </si>
  <si>
    <t>several axiallary buds</t>
  </si>
  <si>
    <t>SD00062563</t>
  </si>
  <si>
    <t>pink and white on sheet and label</t>
  </si>
  <si>
    <t>2 little axiallary buds, one tiny leaf</t>
  </si>
  <si>
    <t>SD00062800</t>
  </si>
  <si>
    <t>several axiallary buds and small leaves</t>
  </si>
  <si>
    <t xml:space="preserve">yes, basal morphology </t>
  </si>
  <si>
    <t>purple dark veins on sheet</t>
  </si>
  <si>
    <t>SD00062799</t>
  </si>
  <si>
    <t>4 axiallary buds, small leaves</t>
  </si>
  <si>
    <t>SD00062784</t>
  </si>
  <si>
    <t>maybe glue on DNA tissue; extra tissue</t>
  </si>
  <si>
    <t>1 axiallary bud, several small leaves, 1 terminal floral bud cluster</t>
  </si>
  <si>
    <t>purple and white on sheet and label</t>
  </si>
  <si>
    <t>yes, cauline w/ intermediate morphology</t>
  </si>
  <si>
    <t>SD00062774</t>
  </si>
  <si>
    <t>pink and white (label and sheet)</t>
  </si>
  <si>
    <t>2 terminal bud clusters</t>
  </si>
  <si>
    <t>light purple on sheet and label</t>
  </si>
  <si>
    <t>maybe some glue on DNA tissue</t>
  </si>
  <si>
    <t>SD00062734</t>
  </si>
  <si>
    <t>SD00062715</t>
  </si>
  <si>
    <t>2-3 axillary buds</t>
  </si>
  <si>
    <t>SD00062711</t>
  </si>
  <si>
    <t>moldy (?) DNA tissue</t>
  </si>
  <si>
    <t>SD00062707</t>
  </si>
  <si>
    <t>many buds, sml leaf</t>
  </si>
  <si>
    <t>lots of extra tissue</t>
  </si>
  <si>
    <t>SD00062768</t>
  </si>
  <si>
    <t>2 huge axillary buds</t>
  </si>
  <si>
    <t>SD00062755</t>
  </si>
  <si>
    <t>several axillary buds</t>
  </si>
  <si>
    <t>3 axillary buds</t>
  </si>
  <si>
    <t>SD00062584</t>
  </si>
  <si>
    <t>SD00062583</t>
  </si>
  <si>
    <t>White, pink veins on sheet</t>
  </si>
  <si>
    <t>axillary bud, small leaf, floral bud clusters</t>
  </si>
  <si>
    <t>bronze on sheet (purple tipe, yellow base)</t>
  </si>
  <si>
    <t>SD00062648</t>
  </si>
  <si>
    <t>SD00062639</t>
  </si>
  <si>
    <t>axillary buds and small leaves</t>
  </si>
  <si>
    <t>SD00062638</t>
  </si>
  <si>
    <t>SD00062679</t>
  </si>
  <si>
    <t>purplish on sheet</t>
  </si>
  <si>
    <t>SD00062663</t>
  </si>
  <si>
    <t>SD00062743</t>
  </si>
  <si>
    <t>3 axillary bud clusters and a lil leaf</t>
  </si>
  <si>
    <t>SD00062553</t>
  </si>
  <si>
    <t>white light veins on sheet</t>
  </si>
  <si>
    <t>4 axillary buds</t>
  </si>
  <si>
    <t>SD00062706</t>
  </si>
  <si>
    <t>white on label, pink veins bleeding on sheet to make the flowers light purple</t>
  </si>
  <si>
    <t>few axillary and one floral bud cluster</t>
  </si>
  <si>
    <t>yes, basal morphology (unclear if cauline bc not attached to plant)</t>
  </si>
  <si>
    <t>SD00083704</t>
  </si>
  <si>
    <t>estra tissue (just a few larger flower buds)</t>
  </si>
  <si>
    <t>SD00062686</t>
  </si>
  <si>
    <t>light purple dark veins on sheet and label</t>
  </si>
  <si>
    <t>few terminal bud clusters</t>
  </si>
  <si>
    <t>SD00061956</t>
  </si>
  <si>
    <t>3-4 axillary buds, 1 terminal bud cluster</t>
  </si>
  <si>
    <t>SD00062742</t>
  </si>
  <si>
    <t>true sativus</t>
  </si>
  <si>
    <t>4 bud clusters and a lil leaf</t>
  </si>
  <si>
    <t>extra (?) tissue; maybe glue on leaf tissue</t>
  </si>
  <si>
    <t>SD00062741</t>
  </si>
  <si>
    <t>SD00060084</t>
  </si>
  <si>
    <t>SD00062662</t>
  </si>
  <si>
    <t>2 axillary buds</t>
  </si>
  <si>
    <t>SD00062660</t>
  </si>
  <si>
    <t>purple on sheet and label (pink on label)</t>
  </si>
  <si>
    <t>SD00062656</t>
  </si>
  <si>
    <t>bronze on sheet (purple tipe, yellow base), purple on label</t>
  </si>
  <si>
    <t>SD00062691</t>
  </si>
  <si>
    <t>UCJEPS</t>
  </si>
  <si>
    <t>JEPS54284</t>
  </si>
  <si>
    <t>JEPS53819</t>
  </si>
  <si>
    <t>white dark veins</t>
  </si>
  <si>
    <t>3 bud clusters, 2 little leaves</t>
  </si>
  <si>
    <t>JEPS53818</t>
  </si>
  <si>
    <t>3 axiallary buds</t>
  </si>
  <si>
    <t>JEPS53817</t>
  </si>
  <si>
    <t>1 axiallary bud cluster, 2 apical bud clusters, extra buds</t>
  </si>
  <si>
    <t>JEPS45440</t>
  </si>
  <si>
    <t>JEPS8424</t>
  </si>
  <si>
    <t>1 axiallary bud cluster, 2 bud clusters</t>
  </si>
  <si>
    <t>white on sheet, light veins</t>
  </si>
  <si>
    <t>JEPS100009</t>
  </si>
  <si>
    <t>JEPS45441</t>
  </si>
  <si>
    <t>2 axiallary buds, 2 apical bud clusters</t>
  </si>
  <si>
    <t>JEPS53816</t>
  </si>
  <si>
    <t>extra leaf tissue</t>
  </si>
  <si>
    <t>several bud clusters and a lil leaf</t>
  </si>
  <si>
    <t>white on sheet, white veins</t>
  </si>
  <si>
    <t>JEPS53814</t>
  </si>
  <si>
    <t>maybe glue on leaf tissue; extra tissue</t>
  </si>
  <si>
    <t>3 axiallary buds, little leaf</t>
  </si>
  <si>
    <t>white on sheet and label</t>
  </si>
  <si>
    <t>JEPS53812</t>
  </si>
  <si>
    <t>maybe glue on leaf tissue; extra tissue; a weird bud cluster</t>
  </si>
  <si>
    <t>3 bud clusters, exra big bud</t>
  </si>
  <si>
    <t>grey on sheet</t>
  </si>
  <si>
    <t>JEPS111867</t>
  </si>
  <si>
    <t>extra DNA tissue</t>
  </si>
  <si>
    <t>4 bud clusters, 1 little leaf, extra buds</t>
  </si>
  <si>
    <t>JEPS53815</t>
  </si>
  <si>
    <t>4 terminal bud clusters</t>
  </si>
  <si>
    <t>JEPS78175</t>
  </si>
  <si>
    <t>2 bud clusters, little leaf</t>
  </si>
  <si>
    <t>pink on sheet and label</t>
  </si>
  <si>
    <t>JEPS53813</t>
  </si>
  <si>
    <t>7 bud clusters, little leaf</t>
  </si>
  <si>
    <t>JEPS126116</t>
  </si>
  <si>
    <t>bit of glue on leaf tissue</t>
  </si>
  <si>
    <t>3 bud clusters, 1 little leaf</t>
  </si>
  <si>
    <t>pink, purple on sheet and label</t>
  </si>
  <si>
    <t>JEPS127092</t>
  </si>
  <si>
    <t>1 axiallary bud, 1 terminal bud cluster</t>
  </si>
  <si>
    <t>petals white, purple veins on label</t>
  </si>
  <si>
    <t>JEPS88506</t>
  </si>
  <si>
    <t>pale yellow on label</t>
  </si>
  <si>
    <t>extra tissue(from big leaf)</t>
  </si>
  <si>
    <t>4 axiallary buds, little leaf</t>
  </si>
  <si>
    <t xml:space="preserve">raphanistrum morphology, small fruits, unlobed basal leaves </t>
  </si>
  <si>
    <t>weird looking specimen</t>
  </si>
  <si>
    <t>UC1126742</t>
  </si>
  <si>
    <t>UC10775</t>
  </si>
  <si>
    <t>white with dark veins on sheet</t>
  </si>
  <si>
    <t>raphanistrum fruit morphology</t>
  </si>
  <si>
    <t>UC765025</t>
  </si>
  <si>
    <t>white, light veins on sheet</t>
  </si>
  <si>
    <t>1 apical bud cluster, 1 axiallary bud cluster</t>
  </si>
  <si>
    <t>UC2027737</t>
  </si>
  <si>
    <t>1 axiallary bud cluster, 1 apical bud cluster</t>
  </si>
  <si>
    <t>UC2028176</t>
  </si>
  <si>
    <t>yellow on sheet</t>
  </si>
  <si>
    <t>UC2028212</t>
  </si>
  <si>
    <t>4 bud clusters, little leaf</t>
  </si>
  <si>
    <t>white with purple veins on sheet and label</t>
  </si>
  <si>
    <t>UC2028045</t>
  </si>
  <si>
    <t>2 axiallary bud clusters, 1 apical bud cluster</t>
  </si>
  <si>
    <t>UC1126741</t>
  </si>
  <si>
    <t>2 apical bud clusters, loose buds</t>
  </si>
  <si>
    <t>white, dark veins on sheet</t>
  </si>
  <si>
    <t>maybe a bit of glue on leaf tissue</t>
  </si>
  <si>
    <t>2 axiallary bud clusters</t>
  </si>
  <si>
    <t>1 terminal bud cluster, 1 big apical cluster</t>
  </si>
  <si>
    <t>UC117496</t>
  </si>
  <si>
    <t>UC1126751</t>
  </si>
  <si>
    <t>for sure glue on leaf tissue</t>
  </si>
  <si>
    <t>UC1584034</t>
  </si>
  <si>
    <t>3 apical bud clusters</t>
  </si>
  <si>
    <t>UC589365</t>
  </si>
  <si>
    <t>UC2028317</t>
  </si>
  <si>
    <t>white, purple-ish veins on label and sheet</t>
  </si>
  <si>
    <t>UC685672</t>
  </si>
  <si>
    <t>white, purple veins on label</t>
  </si>
  <si>
    <t>UC2028282</t>
  </si>
  <si>
    <t>UC2049883</t>
  </si>
  <si>
    <t>giant apical bud</t>
  </si>
  <si>
    <t xml:space="preserve">yes, cauline </t>
  </si>
  <si>
    <t>UC1126754</t>
  </si>
  <si>
    <t>UC1126753</t>
  </si>
  <si>
    <t>UC1614555</t>
  </si>
  <si>
    <t>1 massive bud cluster, little leaf</t>
  </si>
  <si>
    <t>leaf tissues old and dead, possibly with glue</t>
  </si>
  <si>
    <t>UC765016</t>
  </si>
  <si>
    <t>UC14322</t>
  </si>
  <si>
    <t>UC1199217</t>
  </si>
  <si>
    <t>UC455765</t>
  </si>
  <si>
    <t>definitely glue on leaf tissue</t>
  </si>
  <si>
    <t>3 terminal bud clusters</t>
  </si>
  <si>
    <t>UC1126748</t>
  </si>
  <si>
    <t>2 axiallary buds, 2 terminal bud clusters</t>
  </si>
  <si>
    <t>UC1084367</t>
  </si>
  <si>
    <t>3 axiallary bud clusters</t>
  </si>
  <si>
    <t>bit of glue on DNA tissue</t>
  </si>
  <si>
    <t>UC1126747</t>
  </si>
  <si>
    <t>UC1126749</t>
  </si>
  <si>
    <t>1890-1891</t>
  </si>
  <si>
    <t>UC10778</t>
  </si>
  <si>
    <t>UC10779</t>
  </si>
  <si>
    <t>2 terminal bud clusters, 1 axiallary bud</t>
  </si>
  <si>
    <t>UC2079007</t>
  </si>
  <si>
    <t>glue on leaf tissue; on same page/CCH2 upload as 10779</t>
  </si>
  <si>
    <t>2 bud clusters, 1 little leaf</t>
  </si>
  <si>
    <t>extra tissue; glue on leaf tissue; on same page/CCH2 upload as 10778</t>
  </si>
  <si>
    <t>UC212638</t>
  </si>
  <si>
    <t>yes, cauline with intermediate morphology</t>
  </si>
  <si>
    <t>UC56738</t>
  </si>
  <si>
    <t>1 big bud cluster</t>
  </si>
  <si>
    <t>UC56903</t>
  </si>
  <si>
    <t>UC606739</t>
  </si>
  <si>
    <t>UC407038</t>
  </si>
  <si>
    <t>probably glue on leaf tissue and DNA tissue</t>
  </si>
  <si>
    <t>UC650429</t>
  </si>
  <si>
    <t>pink tips on sheet</t>
  </si>
  <si>
    <t>UC1126745</t>
  </si>
  <si>
    <t>UC1536931</t>
  </si>
  <si>
    <t>UC1252110</t>
  </si>
  <si>
    <t>2 axiallary buds, 2 bud clusters</t>
  </si>
  <si>
    <t>UC1206452</t>
  </si>
  <si>
    <t>UC203587</t>
  </si>
  <si>
    <t>white, dark vein on sheets</t>
  </si>
  <si>
    <t>UC519997</t>
  </si>
  <si>
    <t>very pink on sheet</t>
  </si>
  <si>
    <t>UC66740</t>
  </si>
  <si>
    <t>UC1126750</t>
  </si>
  <si>
    <t>some glue on leaf tissue</t>
  </si>
  <si>
    <t>UC520022</t>
  </si>
  <si>
    <t>1 terminal bud cluster, 2 axiallary buds</t>
  </si>
  <si>
    <t>2 terminal bud clusters, 2 axiallary buds, little leaf</t>
  </si>
  <si>
    <t xml:space="preserve">purple on sheet </t>
  </si>
  <si>
    <t>UC1595411</t>
  </si>
  <si>
    <t>UC10776</t>
  </si>
  <si>
    <t>UC212637</t>
  </si>
  <si>
    <t>bad leaf tissue</t>
  </si>
  <si>
    <t>UC596419</t>
  </si>
  <si>
    <t>pale lavender on label</t>
  </si>
  <si>
    <t>UC64347</t>
  </si>
  <si>
    <t>raphanistrum looking morphology</t>
  </si>
  <si>
    <t>UC1046483</t>
  </si>
  <si>
    <t>UC220629</t>
  </si>
  <si>
    <t>UC69195</t>
  </si>
  <si>
    <t>3 terminal  bud clusters</t>
  </si>
  <si>
    <t>UC1126752</t>
  </si>
  <si>
    <t>white, dark veins on sheets</t>
  </si>
  <si>
    <t>2 axiallary buds, 2 bud clusters, 2 little leaves</t>
  </si>
  <si>
    <t xml:space="preserve">mutant inflorescensce </t>
  </si>
  <si>
    <t>UC1327247</t>
  </si>
  <si>
    <t>UC1126746</t>
  </si>
  <si>
    <t>UC1126744</t>
  </si>
  <si>
    <t>UC127885</t>
  </si>
  <si>
    <t>5 bud clusters</t>
  </si>
  <si>
    <t>UC521694</t>
  </si>
  <si>
    <t>UC10777</t>
  </si>
  <si>
    <t>2 axiallary buds, 1 bud cluster</t>
  </si>
  <si>
    <t>sativus like fruits and swollen root</t>
  </si>
  <si>
    <t>crappy leaf and DNA tissue</t>
  </si>
  <si>
    <t>gray (unclear)</t>
  </si>
  <si>
    <t>weird looking specimen; glue on leaf tissue</t>
  </si>
  <si>
    <t>UC2082406</t>
  </si>
  <si>
    <t>very sativus fruit morphology</t>
  </si>
  <si>
    <t>DNA tissue has glue</t>
  </si>
  <si>
    <t>yellowing, wet basal leaves</t>
  </si>
  <si>
    <t>yes, basal (yellowing, wet)</t>
  </si>
  <si>
    <t>CAS</t>
  </si>
  <si>
    <t>beige on sheet</t>
  </si>
  <si>
    <t>4 axiallary buds</t>
  </si>
  <si>
    <t xml:space="preserve">yes, cauline, with cauline morphology </t>
  </si>
  <si>
    <t>leaf tissue maybe with sum glue</t>
  </si>
  <si>
    <t>no flowers on sheet</t>
  </si>
  <si>
    <t>3 terminal  bud clusters, some loose flower buds</t>
  </si>
  <si>
    <t xml:space="preserve">white on sheet </t>
  </si>
  <si>
    <t>extra DNA tissue, extra leaf tissue</t>
  </si>
  <si>
    <t xml:space="preserve">yes, basal  </t>
  </si>
  <si>
    <t>petals white, maroon veins on label</t>
  </si>
  <si>
    <t>3 apical bud clusters, little leaf</t>
  </si>
  <si>
    <t>2 terminal bud clusters, extra flower buds</t>
  </si>
  <si>
    <t>2 axiallary buds, 1 terminal bud cluster</t>
  </si>
  <si>
    <t>white on label</t>
  </si>
  <si>
    <t>pale purple on sheet</t>
  </si>
  <si>
    <t>yellowish on label</t>
  </si>
  <si>
    <t xml:space="preserve">likely two different individuals </t>
  </si>
  <si>
    <t xml:space="preserve">dark yellow on label </t>
  </si>
  <si>
    <t>pale yellow, light veins on label</t>
  </si>
  <si>
    <t>dirt on leaf tissue</t>
  </si>
  <si>
    <t>1 axillary bud, one terminal bud cluster</t>
  </si>
  <si>
    <t>pale yellow on label, light veins</t>
  </si>
  <si>
    <t>3 axiallary buds, loose flower buds</t>
  </si>
  <si>
    <t xml:space="preserve">potentially two individuals, glue on leaf tissue  </t>
  </si>
  <si>
    <t xml:space="preserve">light purple , light veins on sheet </t>
  </si>
  <si>
    <t>1 terminal bud cluster</t>
  </si>
  <si>
    <t xml:space="preserve">yes, basal </t>
  </si>
  <si>
    <t>3 axiallary buds, 1 terminal bud cluster</t>
  </si>
  <si>
    <t>2 axiallary bud, 1 terminal bud</t>
  </si>
  <si>
    <t>2 terminal bud clusters, 1 axiallary bud, loose buds</t>
  </si>
  <si>
    <t xml:space="preserve">sample collected from pouch, duel sample - see entry with no leaf same </t>
  </si>
  <si>
    <t>1 axiallary bud, 2 little leaves</t>
  </si>
  <si>
    <t>multiple flower colors</t>
  </si>
  <si>
    <t>1 terminal bud cluster, a few loose buds</t>
  </si>
  <si>
    <t>highly precious</t>
  </si>
  <si>
    <t>1 axillary bud, 2 terminal bud cluster, several loose flower buds</t>
  </si>
  <si>
    <t xml:space="preserve">sample collected from pouch, duel sample - potentially 2 different individuals . </t>
  </si>
  <si>
    <t>glue on leaf tissue, limited tissue</t>
  </si>
  <si>
    <t>4 axiallary buds, 1 terminal bud cluster</t>
  </si>
  <si>
    <t>yes, cauline with intermediate morphology, glue on half leaf tissue</t>
  </si>
  <si>
    <t xml:space="preserve">yellow flowers on label </t>
  </si>
  <si>
    <t>2 terminal bud clusters, 1 little leaf</t>
  </si>
  <si>
    <t xml:space="preserve">yellowish with purple veins on label </t>
  </si>
  <si>
    <t>2 terminal bud cluster</t>
  </si>
  <si>
    <t>purple and yellow on label and sheet (bronze)</t>
  </si>
  <si>
    <t>2 terminal bud cluster, 2 axillary bud, 1 little leaf</t>
  </si>
  <si>
    <t>leaf</t>
  </si>
  <si>
    <t xml:space="preserve">single basal leaf could use for both if sufficient </t>
  </si>
  <si>
    <t>2 terminal bud cluster, 2 axillary bud</t>
  </si>
  <si>
    <t>1 axillary bud, 1 terminal bud cluster</t>
  </si>
  <si>
    <t xml:space="preserve">1 large terminal bud cluster, 1 axially bud, 1 small leaf </t>
  </si>
  <si>
    <t>2 axillary buds, 1 little leaf</t>
  </si>
  <si>
    <t xml:space="preserve">island - collected </t>
  </si>
  <si>
    <t xml:space="preserve">raphanistrum morphology fruit, much smaller than usual, and pink flowers </t>
  </si>
  <si>
    <t>odd looking leaves, possible hybrid with brassica, small yellow flowers</t>
  </si>
  <si>
    <t xml:space="preserve">beige on sheet </t>
  </si>
  <si>
    <t>2 axillary buds, 2 terminal buds</t>
  </si>
  <si>
    <t xml:space="preserve">yes, cauline with basal morphology </t>
  </si>
  <si>
    <t>1 large terminal bud cluster, 1 axillary bud, 1 little leaf</t>
  </si>
  <si>
    <t>purple steam and sepals</t>
  </si>
  <si>
    <t>white flowers dark veins on sheet</t>
  </si>
  <si>
    <t>2 axillary buds, 1 basal leaf</t>
  </si>
  <si>
    <t>3 axillary buds, 1 terminal bud cluster</t>
  </si>
  <si>
    <t>yes, basal, some glue on leaf</t>
  </si>
  <si>
    <t>4 axillary buds, 1 terminal bud cluster</t>
  </si>
  <si>
    <t>4 axillary buds, 1 little leaf</t>
  </si>
  <si>
    <t xml:space="preserve">yellow on label </t>
  </si>
  <si>
    <t xml:space="preserve">4 axillary buds, some small buds </t>
  </si>
  <si>
    <t>1 axillary bud, 2 terminal bud cluster</t>
  </si>
  <si>
    <t>4 axillary buds, little leaf</t>
  </si>
  <si>
    <t xml:space="preserve">likely perennated </t>
  </si>
  <si>
    <t>likely glue on tissue</t>
  </si>
  <si>
    <t>2 axillary buds, 1 terminal bud cluster, a few loose buds</t>
  </si>
  <si>
    <t>2 axillary buds, 1 terminal bud cluster</t>
  </si>
  <si>
    <t>1 axillary bud cluster, 1 terminal bud cluster</t>
  </si>
  <si>
    <t>easter pink! Pink veins. Very smooth, hairless buds</t>
  </si>
  <si>
    <t xml:space="preserve">3 axillary buds </t>
  </si>
  <si>
    <t>2 axillary buds, 1 terminal bud cluster, a little leaf</t>
  </si>
  <si>
    <t>2 axillary bud, 1 terminal bud</t>
  </si>
  <si>
    <t>very likely sativus, hairless buds</t>
  </si>
  <si>
    <t xml:space="preserve">bronze on sheet </t>
  </si>
  <si>
    <t>likely hybrid brassica i.e. niger, senesing fruits with central dividing membrane, flowers yellow</t>
  </si>
  <si>
    <t>2 axillary buds, 1 large terminal cluster</t>
  </si>
  <si>
    <t xml:space="preserve">map of collection location </t>
  </si>
  <si>
    <t>2 terminal bud clusters, 1 axillary bud</t>
  </si>
  <si>
    <t xml:space="preserve">3 axillary buds, 1 little leaf </t>
  </si>
  <si>
    <t xml:space="preserve">sativus fruits, hairless buds </t>
  </si>
  <si>
    <t xml:space="preserve">hairless buds </t>
  </si>
  <si>
    <t>unsampled duplicate if extraction fails (74229, non specific location data, sampled a month apart)</t>
  </si>
  <si>
    <t xml:space="preserve">dark purple on sheet </t>
  </si>
  <si>
    <t>1 terminal bud cluster, 2 axillary buds</t>
  </si>
  <si>
    <t>1 axillary bud from second individual not matching leaf tissue- found in leaf tissue envelope</t>
  </si>
  <si>
    <t>3 axillary buds, 2 terminal bud cluster</t>
  </si>
  <si>
    <t>extra leaf tissue, unsampled duplicate if extraction fails (74224)</t>
  </si>
  <si>
    <t>2 axillary bud, 1 terminal bud cluster</t>
  </si>
  <si>
    <t>DNA tissue</t>
  </si>
  <si>
    <t>1 axillary bud, 1 terminal bud cluster, 1 little leaf</t>
  </si>
  <si>
    <t>potentially glue or other unknown substance on tissue</t>
  </si>
  <si>
    <t>1 axillary bud, 3 terminal bud clusters</t>
  </si>
  <si>
    <t>setivus morphology, fruits, hairless buds, purple flowers (very likely sativus)</t>
  </si>
  <si>
    <t>1 axiallary bud cluster, 1 apical bud cluster, mature leaf tissue</t>
  </si>
  <si>
    <t>light purple on label</t>
  </si>
  <si>
    <t>4 axillary buds, 2 little leaves</t>
  </si>
  <si>
    <t xml:space="preserve">glue on leaf tissue, multiple individuals on sheet - leaf and DNA collected from same individual </t>
  </si>
  <si>
    <t>5 axillary buds</t>
  </si>
  <si>
    <t>2 axillary buds, 1 large bud terminal cluster</t>
  </si>
  <si>
    <t>3 axillary buds, 1 terminal bud cluster, 1 little leaf</t>
  </si>
  <si>
    <t>purple on label</t>
  </si>
  <si>
    <t xml:space="preserve"> unsampled duplicate if extraction fails (74251)</t>
  </si>
  <si>
    <t>4 axillary bud clusters</t>
  </si>
  <si>
    <t>4 axillary buds, 1 terminal bud cluster, 1 little leaf</t>
  </si>
  <si>
    <t xml:space="preserve">duplicate set of samples - (74250-74244) (note: 74246 was not sampled from series) Berkeley CA 1921 - all appear perenniated </t>
  </si>
  <si>
    <t xml:space="preserve"> ? (1996?)</t>
  </si>
  <si>
    <t>white purple veins on label</t>
  </si>
  <si>
    <t>1 terminal bud cluster with glue</t>
  </si>
  <si>
    <t xml:space="preserve">yes, cauline with cauline morphology </t>
  </si>
  <si>
    <t xml:space="preserve">flower appear bronze on specimen, likley hybrid </t>
  </si>
  <si>
    <t xml:space="preserve">2 big bud clusters - very little glue on smaller bud cluster and visable glue on larger bud cluster </t>
  </si>
  <si>
    <t xml:space="preserve">2 big bud clusters </t>
  </si>
  <si>
    <t xml:space="preserve">3 bud clusters, a few loose buds </t>
  </si>
  <si>
    <t>3 bud clusters- largest with glue</t>
  </si>
  <si>
    <t>purple on label and sheet</t>
  </si>
  <si>
    <t>extra leaf tissue, multiple indviduals on sheet, leaf collected from packet (unclear if DNA and leaf from same individual), axillary bud with leaf might be different individual from other buds</t>
  </si>
  <si>
    <t xml:space="preserve">2 large axillary </t>
  </si>
  <si>
    <t>1 axillary bud</t>
  </si>
  <si>
    <t>2 axillary bud</t>
  </si>
  <si>
    <t>packet of seedlings that germinated in early october</t>
  </si>
  <si>
    <t>n/a</t>
  </si>
  <si>
    <t xml:space="preserve">tiny leaf and apical meristeam </t>
  </si>
  <si>
    <t>2 large axillary buds</t>
  </si>
  <si>
    <t>3 terminal bud cluster</t>
  </si>
  <si>
    <t>leaf tissue might have glue</t>
  </si>
  <si>
    <t>4 terminal bud clusters, 2 axillary buds</t>
  </si>
  <si>
    <t>yellow and purple on sheet</t>
  </si>
  <si>
    <t>unsampled duplicate if extraction fails (74274)</t>
  </si>
  <si>
    <t>unsampled duplicate if extraction fails (74270)</t>
  </si>
  <si>
    <t>small axillary buds may have glue</t>
  </si>
  <si>
    <t>5 terminal bud clusters</t>
  </si>
  <si>
    <t>6 axillary buds</t>
  </si>
  <si>
    <t>potentially glue on tissue</t>
  </si>
  <si>
    <t>glue on leaf tissue, visible glue on one axillary buds DNA</t>
  </si>
  <si>
    <t>badly dried, likely bad DNA</t>
  </si>
  <si>
    <t xml:space="preserve"> 2 axillary buds, 1 terminal bud</t>
  </si>
  <si>
    <t xml:space="preserve">3 axillary buds, 1 terminal bud cluster, 1 little leaf </t>
  </si>
  <si>
    <t>purple and yellow on sheet</t>
  </si>
  <si>
    <t>extra leaf tissue, yes, basal morphology (unknown leaf tissue from leaf packet)</t>
  </si>
  <si>
    <t>yes, basal morphology (unknown, from leaf packet)</t>
  </si>
  <si>
    <t xml:space="preserve">appears pereniated </t>
  </si>
  <si>
    <t>2 axillary buds, 2 little leaves</t>
  </si>
  <si>
    <t xml:space="preserve">beige purple veins on sheet </t>
  </si>
  <si>
    <t>1 axillary bud, 2 terminal bud cluster, 1 little leaf</t>
  </si>
  <si>
    <t xml:space="preserve">1 mini axillary branch </t>
  </si>
  <si>
    <t>unsampled duplicate if extraction fails (74299)</t>
  </si>
  <si>
    <t>3 axillary bud, 1 little leaf</t>
  </si>
  <si>
    <t>1 large terminal bud cluster, 1 axially bud</t>
  </si>
  <si>
    <t xml:space="preserve">potentially more than 1 individual , extra leaf tissue </t>
  </si>
  <si>
    <t>2 axillary bud, 1 terminal bud, 1 little leaf</t>
  </si>
  <si>
    <t xml:space="preserve">DNA includes immature fruit </t>
  </si>
  <si>
    <t>several young leaves</t>
  </si>
  <si>
    <t xml:space="preserve">1 large axillary bud, 1 little leaf </t>
  </si>
  <si>
    <t>ID</t>
  </si>
  <si>
    <t>Year</t>
  </si>
  <si>
    <t>unsampled duplicate if extraction fails (550643)</t>
  </si>
  <si>
    <t>1 large terminal bud cluster</t>
  </si>
  <si>
    <t>3 large axillary bud cluster</t>
  </si>
  <si>
    <t>extra leaf and DNA tissue, Unsampled near duplicate 0074347</t>
  </si>
  <si>
    <t>2 axillary buds, 2 bud clusters</t>
  </si>
  <si>
    <t>3 axillary buds, little leaf</t>
  </si>
  <si>
    <t>2 axillary buds, 2 terminal bud clusters</t>
  </si>
  <si>
    <t xml:space="preserve">potentially two individuals, glue on terminal bud cluster   </t>
  </si>
  <si>
    <t>4 axillary buds, 4 terminal bud clusters</t>
  </si>
  <si>
    <t>extra leaf and DNA tissue</t>
  </si>
  <si>
    <t>2 unsampled duplicates: 0074355, 74354</t>
  </si>
  <si>
    <t>1 large axillary bud, 1 terminal bud cluster</t>
  </si>
  <si>
    <t>2 axiallary bud, 1 little leaf</t>
  </si>
  <si>
    <t>NA</t>
  </si>
  <si>
    <t>unsampled duplicate (diff month) if extraction fails (74361)</t>
  </si>
  <si>
    <t>1 large bud cluster</t>
  </si>
  <si>
    <t>flatter terminal bud likely has glue</t>
  </si>
  <si>
    <t>na (1975?)</t>
  </si>
  <si>
    <t>3 axillary bud, 1 terminal</t>
  </si>
  <si>
    <t>white light veins on sheet, white on label</t>
  </si>
  <si>
    <t>bronze on sheet (purple tip, yellow base; yellow with purple veins on label)</t>
  </si>
  <si>
    <t>one bud cluster with shiny glue! Avoid</t>
  </si>
  <si>
    <t xml:space="preserve">1 large axillary bud, 2 little leaf </t>
  </si>
  <si>
    <t>2 axillary bud, 1 terminal bud, some loose buds</t>
  </si>
  <si>
    <t>CHSC000535</t>
  </si>
  <si>
    <t>pink on sheet (maybe white with pink veins that bled)</t>
  </si>
  <si>
    <t>3 apical buds, 2 little leaves</t>
  </si>
  <si>
    <t>CHSC081475</t>
  </si>
  <si>
    <t>CHSC081237</t>
  </si>
  <si>
    <t>CHSC</t>
  </si>
  <si>
    <t>CHSC075075</t>
  </si>
  <si>
    <t>CHSC091408</t>
  </si>
  <si>
    <t>very sativus fr morph and purple flowers, sparsely hairy buds</t>
  </si>
  <si>
    <t>CHSC038052</t>
  </si>
  <si>
    <t>CHSC114899</t>
  </si>
  <si>
    <t>CHSC119251</t>
  </si>
  <si>
    <t>5 apical bud clusters</t>
  </si>
  <si>
    <t>CHSC126717</t>
  </si>
  <si>
    <t>very raphanistrum type fruits with cilindrical shape and constriction, but hairless buds</t>
  </si>
  <si>
    <t>one mostly buds cluster with glue; extra leaf tissue, but GLUE on lots</t>
  </si>
  <si>
    <t>CHSC126713</t>
  </si>
  <si>
    <t>leaf tissue with glue</t>
  </si>
  <si>
    <t>CHSC125469</t>
  </si>
  <si>
    <t>CHSC034565</t>
  </si>
  <si>
    <t>CHSC027838</t>
  </si>
  <si>
    <t>4 axiallary buds, 1 leaf</t>
  </si>
  <si>
    <t>CHSC000533</t>
  </si>
  <si>
    <t>smaller leaf piece with glue</t>
  </si>
  <si>
    <t>CHSC038030</t>
  </si>
  <si>
    <t>CHSC026459</t>
  </si>
  <si>
    <t>1 axillary bud, 1 large bud cluster</t>
  </si>
  <si>
    <t>CHSC000537</t>
  </si>
  <si>
    <t>CHSC021252</t>
  </si>
  <si>
    <t>CHSC004031</t>
  </si>
  <si>
    <t>CHSC096467</t>
  </si>
  <si>
    <t>CHSC111394</t>
  </si>
  <si>
    <t>CHSC112304</t>
  </si>
  <si>
    <t>pale yelow on label</t>
  </si>
  <si>
    <t>CHSC122361</t>
  </si>
  <si>
    <t>3 axiallary buds (?)</t>
  </si>
  <si>
    <t>clue on smaller axillary bud</t>
  </si>
  <si>
    <t>CHSC000536</t>
  </si>
  <si>
    <t>4 axiallary buds, 1 terminal bud cluster, 1 leaf</t>
  </si>
  <si>
    <t>CHSC000538</t>
  </si>
  <si>
    <t>3 axillary bud, 1 terminal bud cluster, 1 little leaf</t>
  </si>
  <si>
    <t>beige light veins on sheet</t>
  </si>
  <si>
    <t>yellow with dark veins on label</t>
  </si>
  <si>
    <t>CHSC047386</t>
  </si>
  <si>
    <t>1982(89?)</t>
  </si>
  <si>
    <t>CHSC034564</t>
  </si>
  <si>
    <t>CHSC040702</t>
  </si>
  <si>
    <t>no flwrs</t>
  </si>
  <si>
    <t>fruits very raphanistrum morphology</t>
  </si>
  <si>
    <t>CHSC038031</t>
  </si>
  <si>
    <t>beige dark veins on sheet</t>
  </si>
  <si>
    <t>CHSC031957</t>
  </si>
  <si>
    <t>3 apical bud clusters, 1 axillary bud</t>
  </si>
  <si>
    <t>NA _DOUBLE COLLECTED</t>
  </si>
  <si>
    <t>DOUBLE COLLECTED</t>
  </si>
  <si>
    <t>DOUBLE COLLECTED;glue on some of DNA tissue</t>
  </si>
  <si>
    <t>CHSC098192</t>
  </si>
  <si>
    <t>OREGON, oops… ; some glue on leaf tissue</t>
  </si>
  <si>
    <t>CHSC099463</t>
  </si>
  <si>
    <t>2 axiallary bud</t>
  </si>
  <si>
    <t>CHSC064605</t>
  </si>
  <si>
    <t>CHSC065917</t>
  </si>
  <si>
    <t>CHSC066479</t>
  </si>
  <si>
    <t>chem leaf yellowing (scenescing)</t>
  </si>
  <si>
    <t>CHSC03835</t>
  </si>
  <si>
    <t>CHSC03848</t>
  </si>
  <si>
    <t>CHSC038424</t>
  </si>
  <si>
    <t>1 big axillary bud</t>
  </si>
  <si>
    <t>CHSC090955</t>
  </si>
  <si>
    <t>extra DNA and leaf tissue</t>
  </si>
  <si>
    <t>pale yellow on sheet, white or yellow on label</t>
  </si>
  <si>
    <t>CHSC038033</t>
  </si>
  <si>
    <t>CHSC047040</t>
  </si>
  <si>
    <t>CHSC098874</t>
  </si>
  <si>
    <t>CHSC046484</t>
  </si>
  <si>
    <t>SD00062766</t>
  </si>
  <si>
    <t>2 axillary bud, 2 terminal bud cluster</t>
  </si>
  <si>
    <t>SD00062666</t>
  </si>
  <si>
    <t>SD00062669</t>
  </si>
  <si>
    <t>SD00062723</t>
  </si>
  <si>
    <t>SD00062677</t>
  </si>
  <si>
    <t>extra larger bud and lf tissue w/ DNA tissue</t>
  </si>
  <si>
    <t>SD00062720</t>
  </si>
  <si>
    <t>SD00062585</t>
  </si>
  <si>
    <t>SD00062589</t>
  </si>
  <si>
    <t>tons extra DNA tissue; extra leaf tissue</t>
  </si>
  <si>
    <t>3 axiallary buds; one massive terminal bud cluster</t>
  </si>
  <si>
    <t>SD00062659</t>
  </si>
  <si>
    <t>SD00062650</t>
  </si>
  <si>
    <t>2 axillary, 3 apical bud clusters</t>
  </si>
  <si>
    <t>SD00062682</t>
  </si>
  <si>
    <t>SD00023691</t>
  </si>
  <si>
    <t>SD00021403</t>
  </si>
  <si>
    <t>SD00062557</t>
  </si>
  <si>
    <t>5 axillary buds; 2 little leaves</t>
  </si>
  <si>
    <t>SD00062685</t>
  </si>
  <si>
    <t>pink on label</t>
  </si>
  <si>
    <t>extra leaf tissue (whole lil leaf from envelope)</t>
  </si>
  <si>
    <t>SD00062655</t>
  </si>
  <si>
    <t>SD00062559</t>
  </si>
  <si>
    <t>2 axillary bud, 3 terminal bud cluster</t>
  </si>
  <si>
    <t>SD00062702</t>
  </si>
  <si>
    <t>SD00062705</t>
  </si>
  <si>
    <t>purple on sheet, white on label! (bleeding purple veins maybe)</t>
  </si>
  <si>
    <t>SD00062696</t>
  </si>
  <si>
    <t>SD00062737</t>
  </si>
  <si>
    <t>SD00062717</t>
  </si>
  <si>
    <t>3 axillary buds, 3 terminal bud cluster</t>
  </si>
  <si>
    <t>SD00062713</t>
  </si>
  <si>
    <t>4 axillary buds, 2 apical bud clusters, lil leaf, extra buds</t>
  </si>
  <si>
    <t>extra DNA tissue - big buds; 'poisoned with LPCP 1970'</t>
  </si>
  <si>
    <t>SD00062714</t>
  </si>
  <si>
    <t>purple on sheet "orchid" on label</t>
  </si>
  <si>
    <t>6 axillary buds, 1 big multibud cluster with glue</t>
  </si>
  <si>
    <t>glue on some of leaf tissue; glue on large bud cluster (extra DNA tissue)</t>
  </si>
  <si>
    <t>swollen root</t>
  </si>
  <si>
    <t>SD00025459</t>
  </si>
  <si>
    <t>USE SMALL buds for extraction (some mold on some of DNA tissue) ; extra leaf tissue (from pouch)</t>
  </si>
  <si>
    <t>7 axillary buds</t>
  </si>
  <si>
    <t>SD00062733</t>
  </si>
  <si>
    <t>SD00062735</t>
  </si>
  <si>
    <t>SD00062731</t>
  </si>
  <si>
    <t>SD00062718</t>
  </si>
  <si>
    <t>few hairs on buds, really  long petioles… ot massively swollen root</t>
  </si>
  <si>
    <t>good basal leaf tissue, extra leaf tissue</t>
  </si>
  <si>
    <t>tissue collected date</t>
  </si>
  <si>
    <t>SD00062716</t>
  </si>
  <si>
    <t>beige, brown veins on sheet</t>
  </si>
  <si>
    <t>SD00062630</t>
  </si>
  <si>
    <t>1 terminal  multi-bud cluster</t>
  </si>
  <si>
    <t>all tissue from envelope; whole small leaf</t>
  </si>
  <si>
    <t>SD00062802</t>
  </si>
  <si>
    <t>SD00062710</t>
  </si>
  <si>
    <t>white with maroon veins on label</t>
  </si>
  <si>
    <t>SD00062775</t>
  </si>
  <si>
    <t>SD00029907</t>
  </si>
  <si>
    <t>light purple on label and sheet</t>
  </si>
  <si>
    <t>poisoned lpcp 1970</t>
  </si>
  <si>
    <t>SD00062744</t>
  </si>
  <si>
    <t>SD00062628</t>
  </si>
  <si>
    <t>SD00062675</t>
  </si>
  <si>
    <t>SD00062676</t>
  </si>
  <si>
    <t>looks like true sativus; swollen radish root! Hairless buds, pink flowers</t>
  </si>
  <si>
    <t>SD00062754</t>
  </si>
  <si>
    <t>beige on sheet, tips with dark veins!</t>
  </si>
  <si>
    <t>SD00062747</t>
  </si>
  <si>
    <t>SD00062752</t>
  </si>
  <si>
    <t>SD00062759</t>
  </si>
  <si>
    <t>SD00062722</t>
  </si>
  <si>
    <t>SD00062672</t>
  </si>
  <si>
    <t>beige dark veins, maybe purple tips on sheet</t>
  </si>
  <si>
    <t>SD00062678</t>
  </si>
  <si>
    <t>SD00062670</t>
  </si>
  <si>
    <t>SD00062668</t>
  </si>
  <si>
    <t>SD00062673</t>
  </si>
  <si>
    <t>brown on sheet</t>
  </si>
  <si>
    <t>SD00062674</t>
  </si>
  <si>
    <t>SD00062753</t>
  </si>
  <si>
    <t>extra DNA tissue - little leaf</t>
  </si>
  <si>
    <t>3 axiallary bud, 1 little leaf</t>
  </si>
  <si>
    <t>SD00062664</t>
  </si>
  <si>
    <t>some dna tissue a bit moldy; some glue on leaf tissue; poisoned lpcp 1971</t>
  </si>
  <si>
    <t>SD00062665</t>
  </si>
  <si>
    <t>SD00062760</t>
  </si>
  <si>
    <t>2 large multibud axilary bud clusters</t>
  </si>
  <si>
    <t>SBBG213814</t>
  </si>
  <si>
    <t>raphinistrum fruit morph, very hairy, yellow flower</t>
  </si>
  <si>
    <t>4 axiallary buds, 1 lil leaf</t>
  </si>
  <si>
    <t>SBBG</t>
  </si>
  <si>
    <t>SBBG213813</t>
  </si>
  <si>
    <t>SBBG213815</t>
  </si>
  <si>
    <t>6 terminal bud clusters</t>
  </si>
  <si>
    <t>SBBG213816</t>
  </si>
  <si>
    <t>SBBG213811</t>
  </si>
  <si>
    <t>SBBG213840</t>
  </si>
  <si>
    <t>SBBG213838</t>
  </si>
  <si>
    <t>SBBG213835</t>
  </si>
  <si>
    <t>purple on sheet, 'blue to white' on label</t>
  </si>
  <si>
    <t>SBBG166103</t>
  </si>
  <si>
    <t>5 axillary buds; 1 little leaves</t>
  </si>
  <si>
    <t>SBBG174263</t>
  </si>
  <si>
    <t>SBBG213818</t>
  </si>
  <si>
    <t>6 bud clusters, 2 little leaves</t>
  </si>
  <si>
    <t>SBBG213850</t>
  </si>
  <si>
    <t>4 axiallary buds, few lil leaves</t>
  </si>
  <si>
    <t>IN SD BAGS</t>
  </si>
  <si>
    <t>SBBG213826</t>
  </si>
  <si>
    <t>3 huge multibud clusters</t>
  </si>
  <si>
    <t xml:space="preserve">extra DNA tissue, maybe with some glue; in SBBG bags from here on </t>
  </si>
  <si>
    <t>SBBG213810</t>
  </si>
  <si>
    <t xml:space="preserve">light yellow on sheet… </t>
  </si>
  <si>
    <t>SBBG213812</t>
  </si>
  <si>
    <t>SBBG213828</t>
  </si>
  <si>
    <t>8 axillary buds</t>
  </si>
  <si>
    <t>SBBG213844</t>
  </si>
  <si>
    <t>6 bud clusters</t>
  </si>
  <si>
    <t>SBBG213843</t>
  </si>
  <si>
    <t>2 big axillary buds an little leaves</t>
  </si>
  <si>
    <t>SBBG213842</t>
  </si>
  <si>
    <t>extra leaf tissue; extra big buds DNA tissue</t>
  </si>
  <si>
    <t>SBBG213841</t>
  </si>
  <si>
    <t>SBBG230712</t>
  </si>
  <si>
    <t>SBBG213829</t>
  </si>
  <si>
    <t>SBBG213827</t>
  </si>
  <si>
    <t>SBBG213825</t>
  </si>
  <si>
    <t>SBBG213824</t>
  </si>
  <si>
    <t>5 axillary buds, little leaves</t>
  </si>
  <si>
    <t>SBBG213823</t>
  </si>
  <si>
    <t>extra DNA tissue - leaf scraps and big buds</t>
  </si>
  <si>
    <t>SBBG213821</t>
  </si>
  <si>
    <t>little glue on leaf tissue</t>
  </si>
  <si>
    <t>5 axillary buds, little lf</t>
  </si>
  <si>
    <t>SBBG213820</t>
  </si>
  <si>
    <t>SBBG213830</t>
  </si>
  <si>
    <t>maybe receny hyb or sativus, fat root, purple flowers</t>
  </si>
  <si>
    <t>SBBG213845</t>
  </si>
  <si>
    <t>SBBG213846</t>
  </si>
  <si>
    <t>SBBG213834</t>
  </si>
  <si>
    <t>SBBG213833</t>
  </si>
  <si>
    <t>SBBG213822</t>
  </si>
  <si>
    <t>SBBG213848</t>
  </si>
  <si>
    <t>UCR</t>
  </si>
  <si>
    <t>resprout notes</t>
  </si>
  <si>
    <t>UCR0083356</t>
  </si>
  <si>
    <t>UCR0083333</t>
  </si>
  <si>
    <t>definitievely not a resprout</t>
  </si>
  <si>
    <t>UCR0083332</t>
  </si>
  <si>
    <t>UCR0083344</t>
  </si>
  <si>
    <t>no evidence of resprout</t>
  </si>
  <si>
    <t xml:space="preserve">leaf tissue senescing </t>
  </si>
  <si>
    <t>dry fruiting branches with mini resprouts</t>
  </si>
  <si>
    <t>UCR0111501</t>
  </si>
  <si>
    <t>maybe glue on DNA tissue</t>
  </si>
  <si>
    <t>UCR0083350</t>
  </si>
  <si>
    <t>UCR0083370</t>
  </si>
  <si>
    <t>UCR0083304</t>
  </si>
  <si>
    <t>2 axiallary bud2, 1 terminal bud cluster</t>
  </si>
  <si>
    <t>UCR0083305</t>
  </si>
  <si>
    <t>2 axiallary bud, 2 little leaf</t>
  </si>
  <si>
    <t>UCR0083311</t>
  </si>
  <si>
    <t>white on sheet with bleeding veins</t>
  </si>
  <si>
    <t>no evidence of resprout; "in wet, roadside ditch"</t>
  </si>
  <si>
    <t>UCR0083315</t>
  </si>
  <si>
    <t>UCR0083316</t>
  </si>
  <si>
    <t>UCR0083341</t>
  </si>
  <si>
    <t>UCR0083340</t>
  </si>
  <si>
    <t>UCR0083330</t>
  </si>
  <si>
    <t>UCR0083329</t>
  </si>
  <si>
    <t>UCR0083328</t>
  </si>
  <si>
    <t>UCR0083327</t>
  </si>
  <si>
    <t>UCR0083326</t>
  </si>
  <si>
    <t>UCR0083366</t>
  </si>
  <si>
    <t>UCR0083398</t>
  </si>
  <si>
    <t>1 large terminal bud cluster, 2 axially bud, lil leaves</t>
  </si>
  <si>
    <t>UCR0083403</t>
  </si>
  <si>
    <t>UCR0083405</t>
  </si>
  <si>
    <t>UCR0083406</t>
  </si>
  <si>
    <t>UCR0083407</t>
  </si>
  <si>
    <t>UCR0083408</t>
  </si>
  <si>
    <t>1 big axillary bud cluster, few other buds and lil leaf</t>
  </si>
  <si>
    <t>UCR0083431</t>
  </si>
  <si>
    <t>UCR0083323</t>
  </si>
  <si>
    <t>likely bad and v little dna tissue</t>
  </si>
  <si>
    <t>1 terminal bud clusters</t>
  </si>
  <si>
    <t>UCR0083358</t>
  </si>
  <si>
    <t>white to purple on label, white dark veins on sheet</t>
  </si>
  <si>
    <t>UCR0083354</t>
  </si>
  <si>
    <t>leaf tissue on young leaf</t>
  </si>
  <si>
    <t>UCR0083373</t>
  </si>
  <si>
    <t>UCR0083372</t>
  </si>
  <si>
    <t>UCR0083380</t>
  </si>
  <si>
    <t>extra leaf tissue from packet</t>
  </si>
  <si>
    <t>UCR0083378</t>
  </si>
  <si>
    <t>UCR0083377</t>
  </si>
  <si>
    <t>UCR0111502</t>
  </si>
  <si>
    <t>UCR0083383</t>
  </si>
  <si>
    <t>UCR0083384</t>
  </si>
  <si>
    <t>white with purple bleeding veins on sheet</t>
  </si>
  <si>
    <t>UCR0083389</t>
  </si>
  <si>
    <t>could be resprout</t>
  </si>
  <si>
    <t>UCR0083391</t>
  </si>
  <si>
    <t>UCR0083396</t>
  </si>
  <si>
    <t>beige, light veins on sheet (yellow?)</t>
  </si>
  <si>
    <t>UCR0083397</t>
  </si>
  <si>
    <t>DAV</t>
  </si>
  <si>
    <t>DAV245704</t>
  </si>
  <si>
    <t>yellow w dark pleeding pink veins on sheet and label</t>
  </si>
  <si>
    <t>DAV310437</t>
  </si>
  <si>
    <t>2 axiallary buds, 1 terminal bud cluster, 1 lil leaf</t>
  </si>
  <si>
    <t>DAV310441</t>
  </si>
  <si>
    <t>beige/yellowish with dark veins on sheet</t>
  </si>
  <si>
    <t>4 axillary, 1 big multibud terminal</t>
  </si>
  <si>
    <t>extra leaf and DNA tissue from packet</t>
  </si>
  <si>
    <t>DAV310436</t>
  </si>
  <si>
    <t>maybe glue on axillary bud DNA tissue</t>
  </si>
  <si>
    <t>1 terminal  multi-bud cluster, 1 axilary, one terminal bud cluster</t>
  </si>
  <si>
    <t>DAV310440</t>
  </si>
  <si>
    <t>beige/yellow on sheet</t>
  </si>
  <si>
    <t>small amount glue on leaf tissue</t>
  </si>
  <si>
    <t>DAV300679</t>
  </si>
  <si>
    <t>yellow light veins on sheet and label</t>
  </si>
  <si>
    <t>DAV300678</t>
  </si>
  <si>
    <t>DAV300681</t>
  </si>
  <si>
    <t>DAV310444</t>
  </si>
  <si>
    <t>DAV300676</t>
  </si>
  <si>
    <t>light purple on sheet, white on label</t>
  </si>
  <si>
    <t>DAV300682</t>
  </si>
  <si>
    <t>1 axillary, 1 terminal</t>
  </si>
  <si>
    <t>UCR0083355</t>
  </si>
  <si>
    <t>SBBG213817</t>
  </si>
  <si>
    <t>UCR0083360</t>
  </si>
  <si>
    <t>US 320539</t>
  </si>
  <si>
    <t>US 3492194</t>
  </si>
  <si>
    <t>US 299174</t>
  </si>
  <si>
    <t>US 238201</t>
  </si>
  <si>
    <t>US 880131</t>
  </si>
  <si>
    <t>US 765571</t>
  </si>
  <si>
    <t>US 2000728</t>
  </si>
  <si>
    <t>US 1201152</t>
  </si>
  <si>
    <t>US 2525641</t>
  </si>
  <si>
    <t>US 610713</t>
  </si>
  <si>
    <t>US 874348</t>
  </si>
  <si>
    <t>US</t>
  </si>
  <si>
    <t>DAV300683</t>
  </si>
  <si>
    <t>beige, light veins on sheet</t>
  </si>
  <si>
    <t>DAV300671</t>
  </si>
  <si>
    <t>DAV300672</t>
  </si>
  <si>
    <t>DAV300673</t>
  </si>
  <si>
    <t>DAV010561</t>
  </si>
  <si>
    <t>DAV310431</t>
  </si>
  <si>
    <t>DAV310430</t>
  </si>
  <si>
    <t>DNA tissue dirty</t>
  </si>
  <si>
    <t>ID associated with what must be duplicate collection stored at MACF rather than the specimen from US that Regina collected (US cat no. 2525641, barcode no. 03585819)</t>
  </si>
  <si>
    <t>DAV310432</t>
  </si>
  <si>
    <t>2 axiallary bud, 2 little leaf, 1 bud cluster</t>
  </si>
  <si>
    <t>DAV325632</t>
  </si>
  <si>
    <t>1 big axillary bud cluster</t>
  </si>
  <si>
    <t>DAV310417</t>
  </si>
  <si>
    <t>DAV310416</t>
  </si>
  <si>
    <t>some mold on one axillary bud</t>
  </si>
  <si>
    <t>DAV310424</t>
  </si>
  <si>
    <t>DAV310423</t>
  </si>
  <si>
    <t>DAV310419</t>
  </si>
  <si>
    <t>6 axillary buds, 1 lil leaf</t>
  </si>
  <si>
    <t>potential resprout, but unclear</t>
  </si>
  <si>
    <t>DAV310426</t>
  </si>
  <si>
    <t>DAV310407</t>
  </si>
  <si>
    <t>DAV310408</t>
  </si>
  <si>
    <t>3 axiallary buds, 2 terminal bud clusters</t>
  </si>
  <si>
    <t>DAV310410</t>
  </si>
  <si>
    <t>3 large axillary bud cluster, 1 lil leaf</t>
  </si>
  <si>
    <t>DAV310402</t>
  </si>
  <si>
    <t>DAV310399</t>
  </si>
  <si>
    <t>https://www.cch2.org/portal/collections/individual/index.php?occid=6245987&amp;clid=0</t>
  </si>
  <si>
    <t>DAV315352</t>
  </si>
  <si>
    <t>RENO</t>
  </si>
  <si>
    <t>2 axiallary bud, 2 little leaf, 1 terminal bud cluster</t>
  </si>
  <si>
    <t>3 axillary bud, 1 large bud</t>
  </si>
  <si>
    <t>yes, basal with cauline morphology</t>
  </si>
  <si>
    <t>4 axiallary buds with little leaves</t>
  </si>
  <si>
    <t xml:space="preserve">odd leaf morphology, deeply serrated margins, maybe moldy DNA tissue, glue on DNA tissue </t>
  </si>
  <si>
    <t>DAV310392</t>
  </si>
  <si>
    <t>DAV310391</t>
  </si>
  <si>
    <t>maybe glue on leaf tissue</t>
  </si>
  <si>
    <t>UCR0083394</t>
  </si>
  <si>
    <t>dark purple on label and sheet</t>
  </si>
  <si>
    <t>UCR0083392</t>
  </si>
  <si>
    <t>UCR0083375</t>
  </si>
  <si>
    <t>DNA tissue partially eaten</t>
  </si>
  <si>
    <t>UCR0083371</t>
  </si>
  <si>
    <t>UCR0083374</t>
  </si>
  <si>
    <t>3 axiallary buds, 2 little leaves</t>
  </si>
  <si>
    <t>yellow with purple tips on label and sheet</t>
  </si>
  <si>
    <t>5 axillary buds, 1 little leaf</t>
  </si>
  <si>
    <t>UCR0111504</t>
  </si>
  <si>
    <t>UCR0083338</t>
  </si>
  <si>
    <t>leaf tissue yellowing</t>
  </si>
  <si>
    <t>UCR0083342</t>
  </si>
  <si>
    <t>leaf tissue not fully dry</t>
  </si>
  <si>
    <t xml:space="preserve">UCR </t>
  </si>
  <si>
    <t>UCR0083314</t>
  </si>
  <si>
    <t>UCR0083335</t>
  </si>
  <si>
    <t>UCR0083313</t>
  </si>
  <si>
    <t>UCR0083312</t>
  </si>
  <si>
    <t>UCR0083309</t>
  </si>
  <si>
    <t>UCR0083345</t>
  </si>
  <si>
    <t>UCR0083346</t>
  </si>
  <si>
    <t>white with purple veins on label</t>
  </si>
  <si>
    <t>DAV300677</t>
  </si>
  <si>
    <t>DAV310443</t>
  </si>
  <si>
    <t>3 axiallary bud</t>
  </si>
  <si>
    <t>DAV300674</t>
  </si>
  <si>
    <t>DAV300675</t>
  </si>
  <si>
    <t>DAV310442</t>
  </si>
  <si>
    <t>all tissue from envelope</t>
  </si>
  <si>
    <t>DAV310445</t>
  </si>
  <si>
    <t>light yellow dark veins on label and sheet</t>
  </si>
  <si>
    <t>DAV328011</t>
  </si>
  <si>
    <t>white with grey veins on label</t>
  </si>
  <si>
    <t xml:space="preserve">DAV </t>
  </si>
  <si>
    <t>DAV310439</t>
  </si>
  <si>
    <t>DAV310438</t>
  </si>
  <si>
    <t>pale purple on label</t>
  </si>
  <si>
    <t>DAV310435</t>
  </si>
  <si>
    <t>DAV127852</t>
  </si>
  <si>
    <t>3 axiallary bud, 1 terminal bud cluster</t>
  </si>
  <si>
    <t>multiple individuals on sheet, DNA from just 1, maybe some glue on DNA tissue; NOTE - originally entered as DAV315362</t>
  </si>
  <si>
    <t>03/24?/25</t>
  </si>
  <si>
    <t>DAV310425</t>
  </si>
  <si>
    <t>DAV310393</t>
  </si>
  <si>
    <t>DAV310434</t>
  </si>
  <si>
    <t>UCR0083336</t>
  </si>
  <si>
    <t>https://www.cch2.org/portal/collections/individual/index.php?occid=1367987&amp;clid=0</t>
  </si>
  <si>
    <t>DAV244422</t>
  </si>
  <si>
    <t>https://www.cch2.org/portal/collections/individual/index.php?occid=3403302&amp;clid=0</t>
  </si>
  <si>
    <t>https://www.cch2.org/portal/collections/individual/index.php?occid=2376470&amp;clid=0</t>
  </si>
  <si>
    <t>https://www.cch2.org/portal/collections/individual/index.php?occid=2358923&amp;clid=0</t>
  </si>
  <si>
    <t>NOTE! ID in sheet was missing a '3' - UCR008336 rather than UCR0083336, CHECK TUBE</t>
  </si>
  <si>
    <t>RSA</t>
  </si>
  <si>
    <t>RSA0191296</t>
  </si>
  <si>
    <t>RSA0191206</t>
  </si>
  <si>
    <t>RSA0191288</t>
  </si>
  <si>
    <t>RSA0191152</t>
  </si>
  <si>
    <t>RSA0191224</t>
  </si>
  <si>
    <t>RSA0191163</t>
  </si>
  <si>
    <t>5 axillary bud with little leaves</t>
  </si>
  <si>
    <t>definitively not a resprout</t>
  </si>
  <si>
    <t>RSA0191323</t>
  </si>
  <si>
    <t>2 terminal bud cluster, 1 axillary bud</t>
  </si>
  <si>
    <t>white with deep purple veins on label</t>
  </si>
  <si>
    <t>RSA0056287</t>
  </si>
  <si>
    <t>RSA0191237</t>
  </si>
  <si>
    <t>6 axillary buds, 2 little leaves</t>
  </si>
  <si>
    <t>RSA0191230</t>
  </si>
  <si>
    <t>eaten/mangled axillary bud collected</t>
  </si>
  <si>
    <t>RSA0191269</t>
  </si>
  <si>
    <t>appears potentially treated with pesticide</t>
  </si>
  <si>
    <t>RSA0191198</t>
  </si>
  <si>
    <t>2 multibud clusters</t>
  </si>
  <si>
    <t>RSA0191280</t>
  </si>
  <si>
    <t>5 ax bud, 4 little leaf</t>
  </si>
  <si>
    <t>RSA0191272</t>
  </si>
  <si>
    <t>RSA0191331</t>
  </si>
  <si>
    <t>RSA0191325</t>
  </si>
  <si>
    <t>RSA0191303</t>
  </si>
  <si>
    <t>RSA0191213</t>
  </si>
  <si>
    <t>RSA0023267</t>
  </si>
  <si>
    <t>leaf tissue from packet</t>
  </si>
  <si>
    <t>RSA0191218</t>
  </si>
  <si>
    <t>RSA0191217</t>
  </si>
  <si>
    <t>RSA0191169</t>
  </si>
  <si>
    <t>tissue from fragment envelope only</t>
  </si>
  <si>
    <t>RSA0045286</t>
  </si>
  <si>
    <t>yes, unknown but basal morphology</t>
  </si>
  <si>
    <t>does exist for these but annoyingly the RSA id didn't get pulled into the full datasheet… can find specimen on cchs with RSA id</t>
  </si>
  <si>
    <t>RSA0191129</t>
  </si>
  <si>
    <t>RSA0191299</t>
  </si>
  <si>
    <t>RSA0191258</t>
  </si>
  <si>
    <t>yellow w purple veins (on label)</t>
  </si>
  <si>
    <t>RSA0191164</t>
  </si>
  <si>
    <t>RSA0191168</t>
  </si>
  <si>
    <t>RSA0191278</t>
  </si>
  <si>
    <t>RSA0029813</t>
  </si>
  <si>
    <t>RSA0191215</t>
  </si>
  <si>
    <t>3 axiallary buds, 1 little leaf</t>
  </si>
  <si>
    <t>RSA0191186</t>
  </si>
  <si>
    <t>3 axillary buds, 1 little leaf</t>
  </si>
  <si>
    <t>RSA0191317</t>
  </si>
  <si>
    <t>RSA0191327</t>
  </si>
  <si>
    <t>RSA0191172</t>
  </si>
  <si>
    <t>RSA0191216</t>
  </si>
  <si>
    <t>RSA0191301</t>
  </si>
  <si>
    <t>yes, cauline w/ cauline morphology</t>
  </si>
  <si>
    <t>RSA0191156</t>
  </si>
  <si>
    <t>RSA0191141</t>
  </si>
  <si>
    <t>yes, unknown but appears to have intermediate morphology</t>
  </si>
  <si>
    <t>RSA0191181</t>
  </si>
  <si>
    <t>4 axiallary buds, 1 little leaf</t>
  </si>
  <si>
    <t>3 axillary buds, 3 little leaf</t>
  </si>
  <si>
    <t>RSA0191219</t>
  </si>
  <si>
    <t>RSA0191300</t>
  </si>
  <si>
    <t>RSA0191243</t>
  </si>
  <si>
    <t>leaf tissue with white powdery residue</t>
  </si>
  <si>
    <t xml:space="preserve">pink on sheet </t>
  </si>
  <si>
    <t>RSA0191162</t>
  </si>
  <si>
    <t>RSA0191223</t>
  </si>
  <si>
    <t>yes, basal w/ basal morphology</t>
  </si>
  <si>
    <t>RSA0191247</t>
  </si>
  <si>
    <t>RSA0191238</t>
  </si>
  <si>
    <t>RSA0191319</t>
  </si>
  <si>
    <t>leaf tissue from fragment packet</t>
  </si>
  <si>
    <t>potential resprout</t>
  </si>
  <si>
    <t>RSA0191199</t>
  </si>
  <si>
    <t>RSA0191244</t>
  </si>
  <si>
    <t>CDA</t>
  </si>
  <si>
    <t>CDA-0003831</t>
  </si>
  <si>
    <t>CDA-0003829</t>
  </si>
  <si>
    <t>CDA-0003828</t>
  </si>
  <si>
    <t>CDA-0003833</t>
  </si>
  <si>
    <t>CDA-0020839</t>
  </si>
  <si>
    <t xml:space="preserve">2 big axillary bud  </t>
  </si>
  <si>
    <t>remove stem from multibud cluster before extraction</t>
  </si>
  <si>
    <t>1 multibud cluster, 1 axillary bud</t>
  </si>
  <si>
    <t>CDA-0012316</t>
  </si>
  <si>
    <t>CDA-0037168</t>
  </si>
  <si>
    <t>CDA-0059482</t>
  </si>
  <si>
    <t>CDA-0043773</t>
  </si>
  <si>
    <t>CDA-0018779</t>
  </si>
  <si>
    <t>DNA and leaf tissue from fragment packet</t>
  </si>
  <si>
    <t>definitively a resprout</t>
  </si>
  <si>
    <t>CDA-0019431</t>
  </si>
  <si>
    <t>YOSE</t>
  </si>
  <si>
    <t>YOSE65260</t>
  </si>
  <si>
    <t>YOSE109091</t>
  </si>
  <si>
    <t>YOSE225087</t>
  </si>
  <si>
    <t>YOSE109090</t>
  </si>
  <si>
    <t>likely a resprout</t>
  </si>
  <si>
    <t>beige on sheet and label</t>
  </si>
  <si>
    <t>RSA0191194</t>
  </si>
  <si>
    <t>RSA0191196</t>
  </si>
  <si>
    <t>SACT012140</t>
  </si>
  <si>
    <t>SACT012141</t>
  </si>
  <si>
    <t>SACT012146</t>
  </si>
  <si>
    <t>SACT012152</t>
  </si>
  <si>
    <t>SACT012150</t>
  </si>
  <si>
    <t>2ish terminal buds</t>
  </si>
  <si>
    <t>SACT</t>
  </si>
  <si>
    <t>3 axillary duds</t>
  </si>
  <si>
    <t>2 terminal buds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</si>
</sst>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33333"/>
      <name val="Helvetica Neue"/>
      <family val="2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1D1C1D"/>
      <name val="Aptos Display"/>
      <scheme val="major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3" borderId="0" xfId="0" applyFill="1"/>
    <xf numFmtId="0" fontId="7" fillId="0" borderId="0" xfId="0" applyFont="1"/>
    <xf numFmtId="0" fontId="9" fillId="0" borderId="0" xfId="0" applyFont="1"/>
    <xf numFmtId="18" fontId="0" fillId="0" borderId="0" xfId="0" applyNumberFormat="1"/>
    <xf numFmtId="0" fontId="0" fillId="0" borderId="0" xfId="0" quotePrefix="1"/>
    <xf numFmtId="14" fontId="0" fillId="0" borderId="0" xfId="0" applyNumberFormat="1"/>
    <xf numFmtId="0" fontId="0" fillId="4" borderId="0" xfId="0" applyFill="1"/>
    <xf numFmtId="0" fontId="6" fillId="0" borderId="0" xfId="0" applyFont="1"/>
    <xf numFmtId="0" fontId="10" fillId="0" borderId="0" xfId="1"/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juliaharencar/Documents/Github/Raphanus_specimen_map/Raphanus_specimens_all_2025.csv" TargetMode="External"/><Relationship Id="rId2" Type="http://schemas.openxmlformats.org/officeDocument/2006/relationships/externalLinkPath" Target="/Users/juliaharencar/Documents/Github/Raphanus_specimen_map/Raphanus_specimens_all_2025.csv" TargetMode="External"/><Relationship Id="rId1" Type="http://schemas.openxmlformats.org/officeDocument/2006/relationships/externalLinkPath" Target="/Users/juliaharencar/Documents/Github/Raphanus_specimen_map/Raphanus_specimens_all_2025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phanus_specimens_all_2025"/>
    </sheetNames>
    <sheetDataSet>
      <sheetData sheetId="0" refreshError="1">
        <row r="1">
          <cell r="A1" t="str">
            <v>id</v>
          </cell>
          <cell r="G1" t="str">
            <v>catalogNumber</v>
          </cell>
        </row>
        <row r="2">
          <cell r="A2">
            <v>4875033</v>
          </cell>
          <cell r="G2" t="str">
            <v>US 6500</v>
          </cell>
        </row>
        <row r="3">
          <cell r="A3">
            <v>4848896</v>
          </cell>
          <cell r="G3" t="str">
            <v>US 320538</v>
          </cell>
        </row>
        <row r="4">
          <cell r="A4">
            <v>4929046</v>
          </cell>
          <cell r="G4" t="str">
            <v>US 320539</v>
          </cell>
        </row>
        <row r="5">
          <cell r="A5">
            <v>468963</v>
          </cell>
          <cell r="G5" t="str">
            <v>SD00062742</v>
          </cell>
        </row>
        <row r="6">
          <cell r="A6">
            <v>3258364</v>
          </cell>
          <cell r="G6" t="str">
            <v>UC14322</v>
          </cell>
        </row>
        <row r="7">
          <cell r="A7">
            <v>304566</v>
          </cell>
          <cell r="G7" t="str">
            <v>UCSB032030</v>
          </cell>
        </row>
        <row r="8">
          <cell r="A8">
            <v>468961</v>
          </cell>
          <cell r="G8" t="str">
            <v>SD00062744</v>
          </cell>
        </row>
        <row r="9">
          <cell r="A9">
            <v>468962</v>
          </cell>
          <cell r="G9" t="str">
            <v>SD00062741</v>
          </cell>
        </row>
        <row r="10">
          <cell r="A10">
            <v>3351467</v>
          </cell>
          <cell r="G10" t="str">
            <v>JEPS53818</v>
          </cell>
        </row>
        <row r="11">
          <cell r="A11">
            <v>3268949</v>
          </cell>
          <cell r="G11" t="str">
            <v>UC10778</v>
          </cell>
        </row>
        <row r="12">
          <cell r="A12">
            <v>2286213</v>
          </cell>
          <cell r="G12">
            <v>74276</v>
          </cell>
        </row>
        <row r="13">
          <cell r="A13">
            <v>2448284</v>
          </cell>
          <cell r="G13">
            <v>74317</v>
          </cell>
        </row>
        <row r="14">
          <cell r="A14">
            <v>468999</v>
          </cell>
          <cell r="G14" t="str">
            <v>SD00062711</v>
          </cell>
        </row>
        <row r="15">
          <cell r="A15">
            <v>5009796</v>
          </cell>
          <cell r="G15" t="str">
            <v>US 238201</v>
          </cell>
        </row>
        <row r="16">
          <cell r="A16">
            <v>3366602</v>
          </cell>
          <cell r="G16" t="str">
            <v>UC10776</v>
          </cell>
        </row>
        <row r="17">
          <cell r="A17">
            <v>3330781</v>
          </cell>
          <cell r="G17" t="str">
            <v>UC117497</v>
          </cell>
        </row>
        <row r="18">
          <cell r="A18">
            <v>2283873</v>
          </cell>
          <cell r="G18">
            <v>74352</v>
          </cell>
        </row>
        <row r="19">
          <cell r="A19">
            <v>3511149</v>
          </cell>
          <cell r="G19" t="str">
            <v>JEPS53812</v>
          </cell>
        </row>
        <row r="20">
          <cell r="A20">
            <v>3209072</v>
          </cell>
          <cell r="G20" t="str">
            <v>UC1206452</v>
          </cell>
        </row>
        <row r="21">
          <cell r="A21">
            <v>2286564</v>
          </cell>
          <cell r="G21">
            <v>74343</v>
          </cell>
        </row>
        <row r="22">
          <cell r="A22">
            <v>3308798</v>
          </cell>
          <cell r="G22" t="str">
            <v>UC220629</v>
          </cell>
        </row>
        <row r="23">
          <cell r="A23">
            <v>4981056</v>
          </cell>
          <cell r="G23" t="str">
            <v>US 299174</v>
          </cell>
        </row>
        <row r="24">
          <cell r="A24">
            <v>3183373</v>
          </cell>
          <cell r="G24" t="str">
            <v>UC10780</v>
          </cell>
        </row>
        <row r="25">
          <cell r="A25">
            <v>2342281</v>
          </cell>
          <cell r="G25">
            <v>74316</v>
          </cell>
        </row>
        <row r="26">
          <cell r="A26">
            <v>468960</v>
          </cell>
          <cell r="G26" t="str">
            <v>SD00062712</v>
          </cell>
        </row>
        <row r="27">
          <cell r="A27">
            <v>3452051</v>
          </cell>
          <cell r="G27" t="str">
            <v>UC10775</v>
          </cell>
        </row>
        <row r="28">
          <cell r="A28">
            <v>3464512</v>
          </cell>
          <cell r="G28" t="str">
            <v>UC10777</v>
          </cell>
        </row>
        <row r="29">
          <cell r="A29">
            <v>4901886</v>
          </cell>
          <cell r="G29" t="str">
            <v>US 349903</v>
          </cell>
        </row>
        <row r="30">
          <cell r="A30">
            <v>2453178</v>
          </cell>
          <cell r="G30">
            <v>74219</v>
          </cell>
        </row>
        <row r="31">
          <cell r="A31">
            <v>953408</v>
          </cell>
        </row>
        <row r="32">
          <cell r="A32">
            <v>229779</v>
          </cell>
          <cell r="G32" t="str">
            <v>UCSC100000692</v>
          </cell>
        </row>
        <row r="33">
          <cell r="A33">
            <v>3322372</v>
          </cell>
          <cell r="G33" t="str">
            <v>UC64347</v>
          </cell>
        </row>
        <row r="34">
          <cell r="A34">
            <v>3317219</v>
          </cell>
          <cell r="G34" t="str">
            <v>JEPS53816</v>
          </cell>
        </row>
        <row r="35">
          <cell r="A35">
            <v>4910638</v>
          </cell>
          <cell r="G35" t="str">
            <v>US 467936</v>
          </cell>
        </row>
        <row r="36">
          <cell r="A36">
            <v>2271679</v>
          </cell>
          <cell r="G36">
            <v>74261</v>
          </cell>
        </row>
        <row r="37">
          <cell r="A37">
            <v>1312145</v>
          </cell>
          <cell r="G37" t="str">
            <v>DAV300682</v>
          </cell>
        </row>
        <row r="38">
          <cell r="A38">
            <v>1311269</v>
          </cell>
          <cell r="G38" t="str">
            <v>DAV310392</v>
          </cell>
        </row>
        <row r="39">
          <cell r="A39">
            <v>1312007</v>
          </cell>
          <cell r="G39" t="str">
            <v>DAV310391</v>
          </cell>
        </row>
        <row r="40">
          <cell r="A40">
            <v>3382838</v>
          </cell>
          <cell r="G40" t="str">
            <v>UC56903</v>
          </cell>
        </row>
        <row r="41">
          <cell r="A41">
            <v>4821653</v>
          </cell>
          <cell r="G41" t="str">
            <v>US 465345</v>
          </cell>
        </row>
        <row r="42">
          <cell r="A42">
            <v>2440540</v>
          </cell>
          <cell r="G42">
            <v>74278</v>
          </cell>
        </row>
        <row r="43">
          <cell r="A43">
            <v>3212192</v>
          </cell>
          <cell r="G43" t="str">
            <v>UC56738</v>
          </cell>
        </row>
        <row r="44">
          <cell r="A44">
            <v>3245328</v>
          </cell>
          <cell r="G44" t="str">
            <v>UC117496</v>
          </cell>
        </row>
        <row r="45">
          <cell r="A45">
            <v>4892598</v>
          </cell>
          <cell r="G45" t="str">
            <v>US 610713</v>
          </cell>
        </row>
        <row r="46">
          <cell r="A46">
            <v>2302311</v>
          </cell>
          <cell r="G46">
            <v>74297</v>
          </cell>
        </row>
        <row r="47">
          <cell r="A47">
            <v>2393985</v>
          </cell>
          <cell r="G47">
            <v>74296</v>
          </cell>
        </row>
        <row r="48">
          <cell r="A48">
            <v>2446662</v>
          </cell>
          <cell r="G48">
            <v>74295</v>
          </cell>
        </row>
        <row r="49">
          <cell r="A49">
            <v>2296541</v>
          </cell>
          <cell r="G49">
            <v>74177</v>
          </cell>
        </row>
        <row r="50">
          <cell r="A50">
            <v>3542265</v>
          </cell>
          <cell r="G50" t="str">
            <v>UC66740</v>
          </cell>
        </row>
        <row r="51">
          <cell r="A51">
            <v>3400958</v>
          </cell>
          <cell r="G51" t="str">
            <v>UC69195</v>
          </cell>
        </row>
        <row r="52">
          <cell r="A52">
            <v>3257939</v>
          </cell>
          <cell r="G52" t="str">
            <v>UC127885</v>
          </cell>
        </row>
        <row r="53">
          <cell r="A53">
            <v>3489775</v>
          </cell>
          <cell r="G53" t="str">
            <v>UC1199217</v>
          </cell>
        </row>
        <row r="54">
          <cell r="A54">
            <v>3468200</v>
          </cell>
          <cell r="G54" t="str">
            <v>UC455765</v>
          </cell>
        </row>
        <row r="55">
          <cell r="A55">
            <v>4830361</v>
          </cell>
          <cell r="G55" t="str">
            <v>US 874348</v>
          </cell>
        </row>
        <row r="56">
          <cell r="A56">
            <v>2336172</v>
          </cell>
          <cell r="G56">
            <v>74305</v>
          </cell>
        </row>
        <row r="57">
          <cell r="A57">
            <v>2300919</v>
          </cell>
          <cell r="G57">
            <v>74309</v>
          </cell>
        </row>
        <row r="58">
          <cell r="A58">
            <v>2316473</v>
          </cell>
          <cell r="G58">
            <v>74304</v>
          </cell>
        </row>
        <row r="59">
          <cell r="A59">
            <v>2340225</v>
          </cell>
          <cell r="G59">
            <v>74344</v>
          </cell>
        </row>
        <row r="60">
          <cell r="A60">
            <v>2390205</v>
          </cell>
          <cell r="G60">
            <v>74346</v>
          </cell>
        </row>
        <row r="61">
          <cell r="A61">
            <v>2465901</v>
          </cell>
          <cell r="G61">
            <v>74345</v>
          </cell>
        </row>
        <row r="62">
          <cell r="A62">
            <v>2437901</v>
          </cell>
          <cell r="G62">
            <v>74235</v>
          </cell>
        </row>
        <row r="63">
          <cell r="A63">
            <v>3290499</v>
          </cell>
          <cell r="G63" t="str">
            <v>JEPS53817</v>
          </cell>
        </row>
        <row r="64">
          <cell r="A64">
            <v>4095395</v>
          </cell>
          <cell r="G64" t="str">
            <v>CDA-0020839</v>
          </cell>
        </row>
        <row r="65">
          <cell r="A65">
            <v>202465</v>
          </cell>
          <cell r="G65" t="str">
            <v>OBI101786</v>
          </cell>
        </row>
        <row r="66">
          <cell r="A66">
            <v>917287</v>
          </cell>
        </row>
        <row r="67">
          <cell r="A67">
            <v>1078648</v>
          </cell>
        </row>
        <row r="68">
          <cell r="A68">
            <v>904925</v>
          </cell>
        </row>
        <row r="69">
          <cell r="A69">
            <v>2294495</v>
          </cell>
          <cell r="G69">
            <v>74302</v>
          </cell>
        </row>
        <row r="70">
          <cell r="A70">
            <v>2328808</v>
          </cell>
          <cell r="G70">
            <v>74301</v>
          </cell>
        </row>
        <row r="71">
          <cell r="A71">
            <v>2286003</v>
          </cell>
          <cell r="G71">
            <v>74303</v>
          </cell>
        </row>
        <row r="72">
          <cell r="A72">
            <v>2426166</v>
          </cell>
          <cell r="G72">
            <v>74363</v>
          </cell>
        </row>
        <row r="73">
          <cell r="A73">
            <v>4892287</v>
          </cell>
          <cell r="G73" t="str">
            <v>US 880131</v>
          </cell>
        </row>
        <row r="74">
          <cell r="A74">
            <v>2298082</v>
          </cell>
          <cell r="G74">
            <v>74233</v>
          </cell>
        </row>
        <row r="75">
          <cell r="A75">
            <v>5001849</v>
          </cell>
          <cell r="G75" t="str">
            <v>US 765571</v>
          </cell>
        </row>
        <row r="76">
          <cell r="A76">
            <v>2334928</v>
          </cell>
          <cell r="G76">
            <v>74198</v>
          </cell>
        </row>
        <row r="77">
          <cell r="A77">
            <v>1368028</v>
          </cell>
          <cell r="G77" t="str">
            <v>DAV310408</v>
          </cell>
        </row>
        <row r="78">
          <cell r="A78">
            <v>1368006</v>
          </cell>
          <cell r="G78" t="str">
            <v>DAV310423</v>
          </cell>
        </row>
        <row r="79">
          <cell r="A79">
            <v>3430357</v>
          </cell>
          <cell r="G79" t="str">
            <v>UC203587</v>
          </cell>
        </row>
        <row r="80">
          <cell r="A80">
            <v>2312024</v>
          </cell>
          <cell r="G80">
            <v>74263</v>
          </cell>
        </row>
        <row r="81">
          <cell r="A81">
            <v>2465731</v>
          </cell>
          <cell r="G81">
            <v>74262</v>
          </cell>
        </row>
        <row r="82">
          <cell r="A82">
            <v>1368029</v>
          </cell>
          <cell r="G82" t="str">
            <v>DAV310407</v>
          </cell>
        </row>
        <row r="83">
          <cell r="A83">
            <v>2457381</v>
          </cell>
          <cell r="G83">
            <v>74311</v>
          </cell>
        </row>
        <row r="84">
          <cell r="A84">
            <v>469011</v>
          </cell>
          <cell r="G84" t="str">
            <v>SD00062802</v>
          </cell>
        </row>
        <row r="85">
          <cell r="A85">
            <v>2305031</v>
          </cell>
          <cell r="G85">
            <v>74281</v>
          </cell>
        </row>
        <row r="86">
          <cell r="A86">
            <v>2363992</v>
          </cell>
          <cell r="G86">
            <v>74220</v>
          </cell>
        </row>
        <row r="87">
          <cell r="A87">
            <v>1049760</v>
          </cell>
        </row>
        <row r="88">
          <cell r="A88">
            <v>2336537</v>
          </cell>
          <cell r="G88">
            <v>74243</v>
          </cell>
        </row>
        <row r="89">
          <cell r="A89">
            <v>1367990</v>
          </cell>
          <cell r="G89" t="str">
            <v>DAV300673</v>
          </cell>
        </row>
        <row r="90">
          <cell r="A90">
            <v>3479641</v>
          </cell>
          <cell r="G90" t="str">
            <v>UC212637</v>
          </cell>
        </row>
        <row r="91">
          <cell r="A91">
            <v>3479651</v>
          </cell>
          <cell r="G91" t="str">
            <v>UC212638</v>
          </cell>
        </row>
        <row r="92">
          <cell r="A92">
            <v>1367991</v>
          </cell>
          <cell r="G92" t="str">
            <v>DAV310431</v>
          </cell>
        </row>
        <row r="93">
          <cell r="A93">
            <v>1367992</v>
          </cell>
          <cell r="G93" t="str">
            <v>DAV310430</v>
          </cell>
        </row>
        <row r="94">
          <cell r="A94">
            <v>2367740</v>
          </cell>
          <cell r="G94">
            <v>74231</v>
          </cell>
        </row>
        <row r="95">
          <cell r="A95">
            <v>4971847</v>
          </cell>
          <cell r="G95" t="str">
            <v>US 1201152</v>
          </cell>
        </row>
        <row r="96">
          <cell r="A96">
            <v>2450948</v>
          </cell>
          <cell r="G96">
            <v>74210</v>
          </cell>
        </row>
        <row r="97">
          <cell r="A97">
            <v>2357521</v>
          </cell>
          <cell r="G97">
            <v>74241</v>
          </cell>
        </row>
        <row r="98">
          <cell r="A98">
            <v>698690</v>
          </cell>
        </row>
        <row r="99">
          <cell r="A99">
            <v>1119072</v>
          </cell>
        </row>
        <row r="100">
          <cell r="A100">
            <v>2342396</v>
          </cell>
          <cell r="G100">
            <v>74312</v>
          </cell>
        </row>
        <row r="101">
          <cell r="A101">
            <v>2385124</v>
          </cell>
          <cell r="G101">
            <v>74196</v>
          </cell>
        </row>
        <row r="102">
          <cell r="A102">
            <v>2398571</v>
          </cell>
          <cell r="G102">
            <v>74207</v>
          </cell>
        </row>
        <row r="103">
          <cell r="A103">
            <v>2368640</v>
          </cell>
          <cell r="G103">
            <v>74209</v>
          </cell>
        </row>
        <row r="104">
          <cell r="A104">
            <v>3904090</v>
          </cell>
          <cell r="G104" t="str">
            <v>LA00606071</v>
          </cell>
        </row>
        <row r="105">
          <cell r="A105">
            <v>2317066</v>
          </cell>
          <cell r="G105">
            <v>74244</v>
          </cell>
        </row>
        <row r="106">
          <cell r="A106">
            <v>2322547</v>
          </cell>
          <cell r="G106">
            <v>74245</v>
          </cell>
        </row>
        <row r="107">
          <cell r="A107">
            <v>2352540</v>
          </cell>
          <cell r="G107">
            <v>74248</v>
          </cell>
        </row>
        <row r="108">
          <cell r="A108">
            <v>2366181</v>
          </cell>
          <cell r="G108">
            <v>74247</v>
          </cell>
        </row>
        <row r="109">
          <cell r="A109">
            <v>2388593</v>
          </cell>
          <cell r="G109">
            <v>74249</v>
          </cell>
        </row>
        <row r="110">
          <cell r="A110">
            <v>2422481</v>
          </cell>
          <cell r="G110">
            <v>74246</v>
          </cell>
        </row>
        <row r="111">
          <cell r="A111">
            <v>2446817</v>
          </cell>
          <cell r="G111">
            <v>74250</v>
          </cell>
        </row>
        <row r="112">
          <cell r="A112">
            <v>2401356</v>
          </cell>
          <cell r="G112">
            <v>74221</v>
          </cell>
        </row>
        <row r="113">
          <cell r="A113">
            <v>1091776</v>
          </cell>
        </row>
        <row r="114">
          <cell r="A114">
            <v>906238</v>
          </cell>
        </row>
        <row r="115">
          <cell r="A115">
            <v>2331781</v>
          </cell>
          <cell r="G115">
            <v>74362</v>
          </cell>
        </row>
        <row r="116">
          <cell r="A116">
            <v>2413972</v>
          </cell>
          <cell r="G116">
            <v>74264</v>
          </cell>
        </row>
        <row r="117">
          <cell r="A117">
            <v>712565</v>
          </cell>
        </row>
        <row r="118">
          <cell r="A118">
            <v>2395018</v>
          </cell>
          <cell r="G118">
            <v>74260</v>
          </cell>
        </row>
        <row r="119">
          <cell r="A119">
            <v>2311023</v>
          </cell>
          <cell r="G119">
            <v>74259</v>
          </cell>
        </row>
        <row r="120">
          <cell r="A120">
            <v>682744</v>
          </cell>
        </row>
        <row r="121">
          <cell r="A121">
            <v>715148</v>
          </cell>
        </row>
        <row r="122">
          <cell r="A122">
            <v>1011868</v>
          </cell>
        </row>
        <row r="123">
          <cell r="A123">
            <v>2288164</v>
          </cell>
          <cell r="G123">
            <v>74192</v>
          </cell>
        </row>
        <row r="124">
          <cell r="A124">
            <v>1135498</v>
          </cell>
        </row>
        <row r="125">
          <cell r="A125">
            <v>1113607</v>
          </cell>
        </row>
        <row r="126">
          <cell r="A126">
            <v>2431017</v>
          </cell>
          <cell r="G126">
            <v>74222</v>
          </cell>
        </row>
        <row r="127">
          <cell r="A127">
            <v>2970754</v>
          </cell>
          <cell r="G127" t="str">
            <v>YOSE65260</v>
          </cell>
        </row>
        <row r="128">
          <cell r="A128">
            <v>648549</v>
          </cell>
        </row>
        <row r="129">
          <cell r="A129">
            <v>2366615</v>
          </cell>
          <cell r="G129">
            <v>74232</v>
          </cell>
        </row>
        <row r="130">
          <cell r="A130">
            <v>468984</v>
          </cell>
          <cell r="G130" t="str">
            <v>SD00062713</v>
          </cell>
        </row>
        <row r="131">
          <cell r="A131">
            <v>375698</v>
          </cell>
          <cell r="G131" t="str">
            <v>SDSU01221</v>
          </cell>
        </row>
        <row r="132">
          <cell r="A132">
            <v>3499442</v>
          </cell>
          <cell r="G132" t="str">
            <v>JEPS53815</v>
          </cell>
        </row>
        <row r="133">
          <cell r="A133">
            <v>947300</v>
          </cell>
        </row>
        <row r="134">
          <cell r="A134">
            <v>2386302</v>
          </cell>
          <cell r="G134">
            <v>74329</v>
          </cell>
        </row>
        <row r="135">
          <cell r="A135">
            <v>141265</v>
          </cell>
          <cell r="G135" t="str">
            <v>SBBG213823</v>
          </cell>
        </row>
        <row r="136">
          <cell r="A136">
            <v>1368053</v>
          </cell>
          <cell r="G136" t="str">
            <v>DAV310402</v>
          </cell>
        </row>
        <row r="137">
          <cell r="A137">
            <v>747857</v>
          </cell>
        </row>
        <row r="138">
          <cell r="A138">
            <v>935273</v>
          </cell>
        </row>
        <row r="139">
          <cell r="A139">
            <v>968734</v>
          </cell>
        </row>
        <row r="140">
          <cell r="A140">
            <v>83203</v>
          </cell>
          <cell r="G140" t="str">
            <v>SBBG213838</v>
          </cell>
        </row>
        <row r="141">
          <cell r="A141">
            <v>1202206</v>
          </cell>
        </row>
        <row r="142">
          <cell r="A142">
            <v>1368002</v>
          </cell>
          <cell r="G142" t="str">
            <v>DAV310416</v>
          </cell>
        </row>
        <row r="143">
          <cell r="A143">
            <v>732955</v>
          </cell>
        </row>
        <row r="144">
          <cell r="A144">
            <v>806147</v>
          </cell>
        </row>
        <row r="145">
          <cell r="A145">
            <v>963366</v>
          </cell>
        </row>
        <row r="146">
          <cell r="A146">
            <v>1080763</v>
          </cell>
        </row>
        <row r="147">
          <cell r="A147">
            <v>3792158</v>
          </cell>
          <cell r="G147" t="str">
            <v>FSC0010443</v>
          </cell>
        </row>
        <row r="148">
          <cell r="A148">
            <v>3792196</v>
          </cell>
          <cell r="G148" t="str">
            <v>FSC0010481</v>
          </cell>
        </row>
        <row r="149">
          <cell r="A149">
            <v>667072</v>
          </cell>
        </row>
        <row r="150">
          <cell r="A150">
            <v>1123870</v>
          </cell>
        </row>
        <row r="151">
          <cell r="A151">
            <v>684007</v>
          </cell>
        </row>
        <row r="152">
          <cell r="A152">
            <v>1062094</v>
          </cell>
        </row>
        <row r="153">
          <cell r="A153">
            <v>2866836</v>
          </cell>
          <cell r="G153" t="str">
            <v>MACF030464</v>
          </cell>
        </row>
        <row r="154">
          <cell r="A154">
            <v>1110471</v>
          </cell>
        </row>
        <row r="155">
          <cell r="A155">
            <v>3260290</v>
          </cell>
          <cell r="G155" t="str">
            <v>UC407038</v>
          </cell>
        </row>
        <row r="156">
          <cell r="A156">
            <v>3334730</v>
          </cell>
          <cell r="G156" t="str">
            <v>UC650429</v>
          </cell>
        </row>
        <row r="157">
          <cell r="A157">
            <v>2408641</v>
          </cell>
          <cell r="G157">
            <v>74267</v>
          </cell>
        </row>
        <row r="158">
          <cell r="A158">
            <v>981549</v>
          </cell>
        </row>
        <row r="159">
          <cell r="A159">
            <v>1119747</v>
          </cell>
        </row>
        <row r="160">
          <cell r="A160">
            <v>1368057</v>
          </cell>
          <cell r="G160" t="str">
            <v>DAV310399</v>
          </cell>
        </row>
        <row r="161">
          <cell r="A161">
            <v>469005</v>
          </cell>
          <cell r="G161" t="str">
            <v>SD00062739</v>
          </cell>
        </row>
        <row r="162">
          <cell r="A162">
            <v>956927</v>
          </cell>
        </row>
        <row r="163">
          <cell r="A163">
            <v>1146837</v>
          </cell>
          <cell r="G163" t="str">
            <v>RSA0125360</v>
          </cell>
        </row>
        <row r="164">
          <cell r="A164">
            <v>73443</v>
          </cell>
          <cell r="G164" t="str">
            <v>SBBG213811</v>
          </cell>
        </row>
        <row r="165">
          <cell r="A165">
            <v>49448</v>
          </cell>
          <cell r="G165" t="str">
            <v>SBBG155536</v>
          </cell>
        </row>
        <row r="166">
          <cell r="A166">
            <v>144474</v>
          </cell>
          <cell r="G166" t="str">
            <v>SBBG155531</v>
          </cell>
        </row>
        <row r="167">
          <cell r="A167">
            <v>90647</v>
          </cell>
          <cell r="G167" t="str">
            <v>SBBG155533</v>
          </cell>
        </row>
        <row r="168">
          <cell r="A168">
            <v>2463835</v>
          </cell>
          <cell r="G168">
            <v>74205</v>
          </cell>
        </row>
        <row r="169">
          <cell r="A169">
            <v>1143640</v>
          </cell>
        </row>
        <row r="170">
          <cell r="A170">
            <v>657525</v>
          </cell>
        </row>
        <row r="171">
          <cell r="A171">
            <v>942849</v>
          </cell>
        </row>
        <row r="172">
          <cell r="A172">
            <v>971402</v>
          </cell>
        </row>
        <row r="173">
          <cell r="A173">
            <v>1050131</v>
          </cell>
        </row>
        <row r="174">
          <cell r="A174">
            <v>468988</v>
          </cell>
          <cell r="G174" t="str">
            <v>SD00062800</v>
          </cell>
        </row>
        <row r="175">
          <cell r="A175">
            <v>468996</v>
          </cell>
          <cell r="G175" t="str">
            <v>SD00062799</v>
          </cell>
        </row>
        <row r="176">
          <cell r="A176">
            <v>1006340</v>
          </cell>
        </row>
        <row r="177">
          <cell r="A177">
            <v>2197161</v>
          </cell>
          <cell r="G177" t="str">
            <v>DAV310433</v>
          </cell>
        </row>
        <row r="178">
          <cell r="A178">
            <v>3904069</v>
          </cell>
          <cell r="G178" t="str">
            <v>LA00606050</v>
          </cell>
        </row>
        <row r="179">
          <cell r="A179">
            <v>1110606</v>
          </cell>
        </row>
        <row r="180">
          <cell r="A180">
            <v>1205092</v>
          </cell>
        </row>
        <row r="181">
          <cell r="A181">
            <v>997281</v>
          </cell>
        </row>
        <row r="182">
          <cell r="A182">
            <v>3358215</v>
          </cell>
          <cell r="G182" t="str">
            <v>UC519997</v>
          </cell>
        </row>
        <row r="183">
          <cell r="A183">
            <v>3272683</v>
          </cell>
          <cell r="G183" t="str">
            <v>UC520022</v>
          </cell>
        </row>
        <row r="184">
          <cell r="A184">
            <v>2449627</v>
          </cell>
          <cell r="G184">
            <v>74280</v>
          </cell>
        </row>
        <row r="185">
          <cell r="A185">
            <v>2440492</v>
          </cell>
          <cell r="G185">
            <v>74279</v>
          </cell>
        </row>
        <row r="186">
          <cell r="A186">
            <v>3904078</v>
          </cell>
          <cell r="G186" t="str">
            <v>LA00606059</v>
          </cell>
        </row>
        <row r="187">
          <cell r="A187">
            <v>3224405</v>
          </cell>
          <cell r="G187" t="str">
            <v>UC589365</v>
          </cell>
        </row>
        <row r="188">
          <cell r="A188">
            <v>468998</v>
          </cell>
          <cell r="G188" t="str">
            <v>SD00062791</v>
          </cell>
        </row>
        <row r="189">
          <cell r="A189">
            <v>468997</v>
          </cell>
          <cell r="G189" t="str">
            <v>SD00062792</v>
          </cell>
        </row>
        <row r="190">
          <cell r="A190">
            <v>1045591</v>
          </cell>
        </row>
        <row r="191">
          <cell r="A191">
            <v>1240026</v>
          </cell>
        </row>
        <row r="192">
          <cell r="A192">
            <v>1224957</v>
          </cell>
        </row>
        <row r="193">
          <cell r="A193">
            <v>884140</v>
          </cell>
        </row>
        <row r="194">
          <cell r="A194">
            <v>4095407</v>
          </cell>
          <cell r="G194" t="str">
            <v>CDA-003831</v>
          </cell>
        </row>
        <row r="195">
          <cell r="A195">
            <v>4095417</v>
          </cell>
        </row>
        <row r="196">
          <cell r="A196">
            <v>1368001</v>
          </cell>
          <cell r="G196" t="str">
            <v>DAV310417</v>
          </cell>
        </row>
        <row r="197">
          <cell r="A197">
            <v>2384991</v>
          </cell>
          <cell r="G197">
            <v>74230</v>
          </cell>
        </row>
        <row r="198">
          <cell r="A198">
            <v>2361025</v>
          </cell>
          <cell r="G198">
            <v>74229</v>
          </cell>
        </row>
        <row r="199">
          <cell r="A199">
            <v>936997</v>
          </cell>
        </row>
        <row r="200">
          <cell r="A200">
            <v>468995</v>
          </cell>
          <cell r="G200" t="str">
            <v>SD00062714</v>
          </cell>
        </row>
        <row r="201">
          <cell r="A201">
            <v>65108</v>
          </cell>
          <cell r="G201" t="str">
            <v>SBBG155527</v>
          </cell>
        </row>
        <row r="202">
          <cell r="A202">
            <v>468994</v>
          </cell>
          <cell r="G202" t="str">
            <v>SD00062794</v>
          </cell>
        </row>
        <row r="203">
          <cell r="A203">
            <v>1368035</v>
          </cell>
          <cell r="G203" t="str">
            <v>DAV310410</v>
          </cell>
        </row>
        <row r="204">
          <cell r="A204">
            <v>3492727</v>
          </cell>
          <cell r="G204" t="str">
            <v>UC521694</v>
          </cell>
        </row>
        <row r="205">
          <cell r="A205">
            <v>1109866</v>
          </cell>
        </row>
        <row r="206">
          <cell r="A206">
            <v>983573</v>
          </cell>
        </row>
        <row r="207">
          <cell r="A207">
            <v>1045951</v>
          </cell>
        </row>
        <row r="208">
          <cell r="A208">
            <v>1175435</v>
          </cell>
        </row>
        <row r="209">
          <cell r="A209">
            <v>920878</v>
          </cell>
        </row>
        <row r="210">
          <cell r="A210">
            <v>468993</v>
          </cell>
          <cell r="G210" t="str">
            <v>SD00062793</v>
          </cell>
        </row>
        <row r="211">
          <cell r="A211">
            <v>3792171</v>
          </cell>
          <cell r="G211" t="str">
            <v>FSC0010456</v>
          </cell>
        </row>
        <row r="212">
          <cell r="A212">
            <v>3379131</v>
          </cell>
          <cell r="G212" t="str">
            <v>UC1126745</v>
          </cell>
        </row>
        <row r="213">
          <cell r="A213">
            <v>3550026</v>
          </cell>
          <cell r="G213" t="str">
            <v>UC1126746</v>
          </cell>
        </row>
        <row r="214">
          <cell r="A214">
            <v>3417594</v>
          </cell>
          <cell r="G214" t="str">
            <v>UC1614555</v>
          </cell>
        </row>
        <row r="215">
          <cell r="A215">
            <v>3377055</v>
          </cell>
          <cell r="G215" t="str">
            <v>JEPS53819</v>
          </cell>
        </row>
        <row r="216">
          <cell r="A216">
            <v>1114974</v>
          </cell>
        </row>
        <row r="217">
          <cell r="A217">
            <v>945473</v>
          </cell>
        </row>
        <row r="218">
          <cell r="A218">
            <v>710528</v>
          </cell>
        </row>
        <row r="219">
          <cell r="A219">
            <v>468990</v>
          </cell>
          <cell r="G219" t="str">
            <v>SD00062715</v>
          </cell>
        </row>
        <row r="220">
          <cell r="A220">
            <v>2061482</v>
          </cell>
          <cell r="G220" t="str">
            <v>CHSC000533</v>
          </cell>
        </row>
        <row r="221">
          <cell r="A221">
            <v>3462399</v>
          </cell>
          <cell r="G221" t="str">
            <v>JEPS54284</v>
          </cell>
        </row>
        <row r="222">
          <cell r="A222">
            <v>1007750</v>
          </cell>
        </row>
        <row r="223">
          <cell r="A223">
            <v>957317</v>
          </cell>
        </row>
        <row r="224">
          <cell r="A224">
            <v>3563575</v>
          </cell>
          <cell r="G224" t="str">
            <v>UC1536931</v>
          </cell>
        </row>
        <row r="225">
          <cell r="A225">
            <v>468991</v>
          </cell>
          <cell r="G225" t="str">
            <v>SD00062716</v>
          </cell>
        </row>
        <row r="226">
          <cell r="A226">
            <v>468964</v>
          </cell>
          <cell r="G226" t="str">
            <v>SD00062718</v>
          </cell>
        </row>
        <row r="227">
          <cell r="A227">
            <v>468989</v>
          </cell>
          <cell r="G227" t="str">
            <v>SD00062736</v>
          </cell>
        </row>
        <row r="228">
          <cell r="A228">
            <v>469026</v>
          </cell>
          <cell r="G228" t="str">
            <v>SD00062737</v>
          </cell>
        </row>
        <row r="229">
          <cell r="A229">
            <v>468992</v>
          </cell>
          <cell r="G229" t="str">
            <v>SD00062717</v>
          </cell>
        </row>
        <row r="230">
          <cell r="A230">
            <v>468965</v>
          </cell>
          <cell r="G230" t="str">
            <v>SD00062745</v>
          </cell>
        </row>
        <row r="231">
          <cell r="A231">
            <v>3366934</v>
          </cell>
          <cell r="G231" t="str">
            <v>UC1126750</v>
          </cell>
        </row>
        <row r="232">
          <cell r="A232">
            <v>3562157</v>
          </cell>
          <cell r="G232" t="str">
            <v>UC1126747</v>
          </cell>
        </row>
        <row r="233">
          <cell r="A233">
            <v>3525429</v>
          </cell>
          <cell r="G233" t="str">
            <v>UC1126748</v>
          </cell>
        </row>
        <row r="234">
          <cell r="A234">
            <v>3433650</v>
          </cell>
          <cell r="G234" t="str">
            <v>UC1126749</v>
          </cell>
        </row>
        <row r="235">
          <cell r="A235">
            <v>3306212</v>
          </cell>
          <cell r="G235" t="str">
            <v>UC1126752</v>
          </cell>
        </row>
        <row r="236">
          <cell r="A236">
            <v>3444193</v>
          </cell>
          <cell r="G236" t="str">
            <v>UC596419</v>
          </cell>
        </row>
        <row r="237">
          <cell r="A237">
            <v>3262100</v>
          </cell>
          <cell r="G237" t="str">
            <v>UC765025</v>
          </cell>
        </row>
        <row r="238">
          <cell r="A238">
            <v>3335398</v>
          </cell>
          <cell r="G238" t="str">
            <v>UC765016</v>
          </cell>
        </row>
        <row r="239">
          <cell r="A239">
            <v>4940224</v>
          </cell>
          <cell r="G239" t="str">
            <v>US 2000728</v>
          </cell>
        </row>
        <row r="240">
          <cell r="A240">
            <v>3310288</v>
          </cell>
          <cell r="G240" t="str">
            <v>UC606739</v>
          </cell>
        </row>
        <row r="241">
          <cell r="A241">
            <v>2293307</v>
          </cell>
          <cell r="G241">
            <v>74183</v>
          </cell>
        </row>
        <row r="242">
          <cell r="A242">
            <v>760531</v>
          </cell>
        </row>
        <row r="243">
          <cell r="A243">
            <v>3553698</v>
          </cell>
          <cell r="G243" t="str">
            <v>UC557711</v>
          </cell>
        </row>
        <row r="244">
          <cell r="A244">
            <v>3489238</v>
          </cell>
          <cell r="G244" t="str">
            <v>UC1126741</v>
          </cell>
        </row>
        <row r="245">
          <cell r="A245">
            <v>3183749</v>
          </cell>
          <cell r="G245" t="str">
            <v>UC1126742</v>
          </cell>
        </row>
        <row r="246">
          <cell r="A246">
            <v>3534929</v>
          </cell>
          <cell r="G246" t="str">
            <v>JEPS53813</v>
          </cell>
        </row>
        <row r="247">
          <cell r="A247">
            <v>3523645</v>
          </cell>
          <cell r="G247" t="str">
            <v>JEPS53814</v>
          </cell>
        </row>
        <row r="248">
          <cell r="A248">
            <v>1102188</v>
          </cell>
        </row>
        <row r="249">
          <cell r="A249">
            <v>3539396</v>
          </cell>
          <cell r="G249" t="str">
            <v>UC1543096</v>
          </cell>
        </row>
        <row r="250">
          <cell r="A250">
            <v>3737681</v>
          </cell>
          <cell r="G250" t="str">
            <v>SD00062562</v>
          </cell>
        </row>
        <row r="251">
          <cell r="A251">
            <v>468968</v>
          </cell>
          <cell r="G251" t="str">
            <v>SD00062672</v>
          </cell>
        </row>
        <row r="252">
          <cell r="A252">
            <v>468967</v>
          </cell>
          <cell r="G252" t="str">
            <v>SD00062673</v>
          </cell>
        </row>
        <row r="253">
          <cell r="A253">
            <v>468971</v>
          </cell>
          <cell r="G253" t="str">
            <v>SD00062678</v>
          </cell>
        </row>
        <row r="254">
          <cell r="A254">
            <v>468970</v>
          </cell>
          <cell r="G254" t="str">
            <v>SD00062671</v>
          </cell>
        </row>
        <row r="255">
          <cell r="A255">
            <v>468972</v>
          </cell>
          <cell r="G255" t="str">
            <v>SD00062564</v>
          </cell>
        </row>
        <row r="256">
          <cell r="A256">
            <v>468975</v>
          </cell>
          <cell r="G256" t="str">
            <v>SD00062674</v>
          </cell>
        </row>
        <row r="257">
          <cell r="A257">
            <v>468974</v>
          </cell>
          <cell r="G257" t="str">
            <v>SD00062679</v>
          </cell>
        </row>
        <row r="258">
          <cell r="A258">
            <v>468973</v>
          </cell>
          <cell r="G258" t="str">
            <v>SD00062553</v>
          </cell>
        </row>
        <row r="259">
          <cell r="A259">
            <v>468966</v>
          </cell>
          <cell r="G259" t="str">
            <v>SD00062754</v>
          </cell>
        </row>
        <row r="260">
          <cell r="A260">
            <v>3440200</v>
          </cell>
          <cell r="G260" t="str">
            <v>UC1126753</v>
          </cell>
        </row>
        <row r="261">
          <cell r="A261">
            <v>3293792</v>
          </cell>
          <cell r="G261" t="str">
            <v>UC1126754</v>
          </cell>
        </row>
        <row r="262">
          <cell r="A262">
            <v>2338864</v>
          </cell>
          <cell r="G262">
            <v>74333</v>
          </cell>
        </row>
        <row r="263">
          <cell r="A263">
            <v>1008177</v>
          </cell>
        </row>
        <row r="264">
          <cell r="A264">
            <v>1045059</v>
          </cell>
        </row>
        <row r="265">
          <cell r="A265">
            <v>3281522</v>
          </cell>
          <cell r="G265" t="str">
            <v>UC1126744</v>
          </cell>
        </row>
        <row r="266">
          <cell r="A266">
            <v>2405523</v>
          </cell>
          <cell r="G266">
            <v>74175</v>
          </cell>
        </row>
        <row r="267">
          <cell r="A267">
            <v>2772139</v>
          </cell>
          <cell r="G267">
            <v>550649</v>
          </cell>
        </row>
        <row r="268">
          <cell r="A268">
            <v>2773470</v>
          </cell>
          <cell r="G268">
            <v>554230</v>
          </cell>
        </row>
        <row r="269">
          <cell r="A269">
            <v>2771952</v>
          </cell>
          <cell r="G269">
            <v>550561</v>
          </cell>
        </row>
        <row r="270">
          <cell r="A270">
            <v>2771954</v>
          </cell>
          <cell r="G270">
            <v>550563</v>
          </cell>
        </row>
        <row r="271">
          <cell r="A271">
            <v>1012091</v>
          </cell>
        </row>
        <row r="272">
          <cell r="A272">
            <v>1193190</v>
          </cell>
        </row>
        <row r="273">
          <cell r="A273">
            <v>1247827</v>
          </cell>
        </row>
        <row r="274">
          <cell r="A274">
            <v>764500</v>
          </cell>
        </row>
        <row r="275">
          <cell r="A275">
            <v>962044</v>
          </cell>
        </row>
        <row r="276">
          <cell r="A276">
            <v>468976</v>
          </cell>
          <cell r="G276" t="str">
            <v>SD00062565</v>
          </cell>
        </row>
        <row r="277">
          <cell r="A277">
            <v>468977</v>
          </cell>
          <cell r="G277" t="str">
            <v>SD00062676</v>
          </cell>
        </row>
        <row r="278">
          <cell r="A278">
            <v>468981</v>
          </cell>
          <cell r="G278" t="str">
            <v>SD00062551</v>
          </cell>
        </row>
        <row r="279">
          <cell r="A279">
            <v>468978</v>
          </cell>
          <cell r="G279" t="str">
            <v>SD00062552</v>
          </cell>
        </row>
        <row r="280">
          <cell r="A280">
            <v>468979</v>
          </cell>
          <cell r="G280" t="str">
            <v>SD00061956</v>
          </cell>
        </row>
        <row r="281">
          <cell r="A281">
            <v>468980</v>
          </cell>
          <cell r="G281" t="str">
            <v>SD00062677</v>
          </cell>
        </row>
        <row r="282">
          <cell r="A282">
            <v>468982</v>
          </cell>
          <cell r="G282" t="str">
            <v>SD00062675</v>
          </cell>
        </row>
        <row r="283">
          <cell r="A283">
            <v>3477178</v>
          </cell>
          <cell r="G283" t="str">
            <v>UC1126751</v>
          </cell>
        </row>
        <row r="284">
          <cell r="A284">
            <v>2772132</v>
          </cell>
          <cell r="G284">
            <v>550642</v>
          </cell>
        </row>
        <row r="285">
          <cell r="A285">
            <v>2772133</v>
          </cell>
          <cell r="G285">
            <v>550643</v>
          </cell>
        </row>
        <row r="286">
          <cell r="A286">
            <v>3232355</v>
          </cell>
          <cell r="G286" t="str">
            <v>UC1084367</v>
          </cell>
        </row>
        <row r="287">
          <cell r="A287">
            <v>720388</v>
          </cell>
        </row>
        <row r="288">
          <cell r="A288">
            <v>4126372</v>
          </cell>
        </row>
        <row r="289">
          <cell r="A289">
            <v>1368058</v>
          </cell>
          <cell r="G289" t="str">
            <v>DAV310398</v>
          </cell>
        </row>
        <row r="290">
          <cell r="A290">
            <v>1000036</v>
          </cell>
        </row>
        <row r="291">
          <cell r="A291">
            <v>2061578</v>
          </cell>
          <cell r="G291" t="str">
            <v>CHSC000535</v>
          </cell>
        </row>
        <row r="292">
          <cell r="A292">
            <v>468983</v>
          </cell>
          <cell r="G292" t="str">
            <v>SD00062670</v>
          </cell>
        </row>
        <row r="293">
          <cell r="A293">
            <v>2916054</v>
          </cell>
          <cell r="G293" t="str">
            <v>PASA_2074</v>
          </cell>
        </row>
        <row r="294">
          <cell r="A294">
            <v>639302</v>
          </cell>
        </row>
        <row r="295">
          <cell r="A295">
            <v>963330</v>
          </cell>
        </row>
        <row r="296">
          <cell r="A296">
            <v>964523</v>
          </cell>
        </row>
        <row r="297">
          <cell r="A297">
            <v>108810</v>
          </cell>
          <cell r="G297" t="str">
            <v>SBBG213812</v>
          </cell>
        </row>
        <row r="298">
          <cell r="A298">
            <v>75275</v>
          </cell>
          <cell r="G298" t="str">
            <v>SBBG155532</v>
          </cell>
        </row>
        <row r="299">
          <cell r="A299">
            <v>469016</v>
          </cell>
          <cell r="G299" t="str">
            <v>SD00062789</v>
          </cell>
        </row>
        <row r="300">
          <cell r="A300">
            <v>610288</v>
          </cell>
          <cell r="G300" t="str">
            <v>SFV104572</v>
          </cell>
        </row>
        <row r="301">
          <cell r="A301">
            <v>1092827</v>
          </cell>
        </row>
        <row r="302">
          <cell r="A302">
            <v>1171088</v>
          </cell>
        </row>
        <row r="303">
          <cell r="A303">
            <v>3792179</v>
          </cell>
          <cell r="G303" t="str">
            <v>FSC0010464</v>
          </cell>
        </row>
        <row r="304">
          <cell r="A304">
            <v>468985</v>
          </cell>
          <cell r="G304" t="str">
            <v>SD00062743</v>
          </cell>
        </row>
        <row r="305">
          <cell r="A305">
            <v>468986</v>
          </cell>
          <cell r="G305" t="str">
            <v>SD00062669</v>
          </cell>
        </row>
        <row r="306">
          <cell r="A306">
            <v>468987</v>
          </cell>
          <cell r="G306" t="str">
            <v>SD00062668</v>
          </cell>
        </row>
        <row r="307">
          <cell r="A307">
            <v>5084121</v>
          </cell>
          <cell r="G307" t="str">
            <v>RSA0335004</v>
          </cell>
        </row>
        <row r="308">
          <cell r="A308">
            <v>5084126</v>
          </cell>
          <cell r="G308" t="str">
            <v>RSA0335003</v>
          </cell>
        </row>
        <row r="309">
          <cell r="A309">
            <v>469010</v>
          </cell>
          <cell r="G309" t="str">
            <v>SD00062563</v>
          </cell>
        </row>
        <row r="310">
          <cell r="A310">
            <v>1068117</v>
          </cell>
        </row>
        <row r="311">
          <cell r="A311">
            <v>1368036</v>
          </cell>
          <cell r="G311" t="str">
            <v>DAV310432</v>
          </cell>
        </row>
        <row r="312">
          <cell r="A312">
            <v>1367984</v>
          </cell>
          <cell r="G312" t="str">
            <v>DAV300681</v>
          </cell>
        </row>
        <row r="313">
          <cell r="A313">
            <v>89884</v>
          </cell>
          <cell r="G313" t="str">
            <v>SBBG213826</v>
          </cell>
        </row>
        <row r="314">
          <cell r="A314">
            <v>1368038</v>
          </cell>
          <cell r="G314" t="str">
            <v>DAV010561</v>
          </cell>
        </row>
        <row r="315">
          <cell r="A315">
            <v>3286045</v>
          </cell>
          <cell r="G315" t="str">
            <v>UC685672</v>
          </cell>
        </row>
        <row r="316">
          <cell r="A316">
            <v>2299319</v>
          </cell>
          <cell r="G316">
            <v>74251</v>
          </cell>
        </row>
        <row r="317">
          <cell r="A317">
            <v>2423815</v>
          </cell>
          <cell r="G317">
            <v>74252</v>
          </cell>
        </row>
        <row r="318">
          <cell r="A318">
            <v>734125</v>
          </cell>
        </row>
        <row r="319">
          <cell r="A319">
            <v>36646</v>
          </cell>
          <cell r="G319" t="str">
            <v>SBBG213820</v>
          </cell>
        </row>
        <row r="320">
          <cell r="A320">
            <v>49117</v>
          </cell>
          <cell r="G320" t="str">
            <v>SBBG213827</v>
          </cell>
        </row>
        <row r="321">
          <cell r="A321">
            <v>3904091</v>
          </cell>
          <cell r="G321" t="str">
            <v>LA00606073</v>
          </cell>
        </row>
        <row r="322">
          <cell r="A322">
            <v>1184063</v>
          </cell>
        </row>
        <row r="323">
          <cell r="A323">
            <v>1192564</v>
          </cell>
        </row>
        <row r="324">
          <cell r="A324">
            <v>807444</v>
          </cell>
        </row>
        <row r="325">
          <cell r="A325">
            <v>681941</v>
          </cell>
        </row>
        <row r="326">
          <cell r="A326">
            <v>110889</v>
          </cell>
          <cell r="G326" t="str">
            <v>SBBG213835</v>
          </cell>
        </row>
        <row r="327">
          <cell r="A327">
            <v>469012</v>
          </cell>
          <cell r="G327" t="str">
            <v>SD00062667</v>
          </cell>
        </row>
        <row r="328">
          <cell r="A328">
            <v>1368040</v>
          </cell>
          <cell r="G328" t="str">
            <v>DAV310412</v>
          </cell>
        </row>
        <row r="329">
          <cell r="A329">
            <v>1367988</v>
          </cell>
          <cell r="G329" t="str">
            <v>DAV300683</v>
          </cell>
        </row>
        <row r="330">
          <cell r="A330">
            <v>61217</v>
          </cell>
          <cell r="G330" t="str">
            <v>SBBG213824</v>
          </cell>
        </row>
        <row r="331">
          <cell r="A331">
            <v>130694</v>
          </cell>
          <cell r="G331" t="str">
            <v>SBBG213821</v>
          </cell>
        </row>
        <row r="332">
          <cell r="A332">
            <v>87856</v>
          </cell>
          <cell r="G332" t="str">
            <v>SBBG213810</v>
          </cell>
        </row>
        <row r="333">
          <cell r="A333">
            <v>2395595</v>
          </cell>
          <cell r="G333">
            <v>74242</v>
          </cell>
        </row>
        <row r="334">
          <cell r="A334">
            <v>942671</v>
          </cell>
        </row>
        <row r="335">
          <cell r="A335">
            <v>1132499</v>
          </cell>
        </row>
        <row r="336">
          <cell r="A336">
            <v>304556</v>
          </cell>
          <cell r="G336" t="str">
            <v>UCSB032011</v>
          </cell>
        </row>
        <row r="337">
          <cell r="A337">
            <v>786393</v>
          </cell>
        </row>
        <row r="338">
          <cell r="A338">
            <v>98493</v>
          </cell>
          <cell r="G338" t="str">
            <v>SBBG213814</v>
          </cell>
        </row>
        <row r="339">
          <cell r="A339">
            <v>304536</v>
          </cell>
          <cell r="G339" t="str">
            <v>UCSB031995</v>
          </cell>
        </row>
        <row r="340">
          <cell r="A340">
            <v>107786</v>
          </cell>
          <cell r="G340">
            <v>72200</v>
          </cell>
        </row>
        <row r="341">
          <cell r="A341">
            <v>2411397</v>
          </cell>
          <cell r="G341">
            <v>74215</v>
          </cell>
        </row>
        <row r="342">
          <cell r="A342">
            <v>2324177</v>
          </cell>
          <cell r="G342">
            <v>74208</v>
          </cell>
        </row>
        <row r="343">
          <cell r="A343">
            <v>47113</v>
          </cell>
          <cell r="G343" t="str">
            <v>SBBG213834</v>
          </cell>
        </row>
        <row r="344">
          <cell r="A344">
            <v>659987</v>
          </cell>
        </row>
        <row r="345">
          <cell r="A345">
            <v>2288810</v>
          </cell>
          <cell r="G345">
            <v>74216</v>
          </cell>
        </row>
        <row r="346">
          <cell r="A346">
            <v>1368004</v>
          </cell>
          <cell r="G346" t="str">
            <v>DAV310414</v>
          </cell>
        </row>
        <row r="347">
          <cell r="A347">
            <v>1104772</v>
          </cell>
        </row>
        <row r="348">
          <cell r="A348">
            <v>1368052</v>
          </cell>
          <cell r="G348" t="str">
            <v>DAV310403</v>
          </cell>
        </row>
        <row r="349">
          <cell r="A349">
            <v>911854</v>
          </cell>
        </row>
        <row r="350">
          <cell r="A350">
            <v>1005302</v>
          </cell>
        </row>
        <row r="351">
          <cell r="A351">
            <v>304543</v>
          </cell>
          <cell r="G351" t="str">
            <v>UCSB032009</v>
          </cell>
        </row>
        <row r="352">
          <cell r="A352">
            <v>1368003</v>
          </cell>
          <cell r="G352" t="str">
            <v>DAV310415</v>
          </cell>
        </row>
        <row r="353">
          <cell r="A353">
            <v>1213435</v>
          </cell>
        </row>
        <row r="354">
          <cell r="A354">
            <v>2291878</v>
          </cell>
          <cell r="G354">
            <v>74283</v>
          </cell>
        </row>
        <row r="355">
          <cell r="A355">
            <v>1368034</v>
          </cell>
          <cell r="G355" t="str">
            <v>DAV310404</v>
          </cell>
        </row>
        <row r="356">
          <cell r="A356">
            <v>2315912</v>
          </cell>
          <cell r="G356">
            <v>74347</v>
          </cell>
        </row>
        <row r="357">
          <cell r="A357">
            <v>2390070</v>
          </cell>
          <cell r="G357">
            <v>74348</v>
          </cell>
        </row>
        <row r="358">
          <cell r="A358">
            <v>765477</v>
          </cell>
        </row>
        <row r="359">
          <cell r="A359">
            <v>2292239</v>
          </cell>
          <cell r="G359">
            <v>74194</v>
          </cell>
        </row>
        <row r="360">
          <cell r="A360">
            <v>1368043</v>
          </cell>
          <cell r="G360" t="str">
            <v>DAV310390</v>
          </cell>
        </row>
        <row r="361">
          <cell r="A361">
            <v>1116413</v>
          </cell>
        </row>
        <row r="362">
          <cell r="A362">
            <v>2270810</v>
          </cell>
          <cell r="G362">
            <v>74353</v>
          </cell>
        </row>
        <row r="363">
          <cell r="A363">
            <v>2385707</v>
          </cell>
          <cell r="G363">
            <v>74355</v>
          </cell>
        </row>
        <row r="364">
          <cell r="A364">
            <v>2446523</v>
          </cell>
          <cell r="G364">
            <v>74354</v>
          </cell>
        </row>
        <row r="365">
          <cell r="A365">
            <v>2334980</v>
          </cell>
          <cell r="G365">
            <v>74356</v>
          </cell>
        </row>
        <row r="366">
          <cell r="A366">
            <v>2450089</v>
          </cell>
          <cell r="G366">
            <v>74197</v>
          </cell>
        </row>
        <row r="367">
          <cell r="A367">
            <v>2358602</v>
          </cell>
          <cell r="G367">
            <v>74223</v>
          </cell>
        </row>
        <row r="368">
          <cell r="A368">
            <v>3904070</v>
          </cell>
          <cell r="G368" t="str">
            <v>LA00606051</v>
          </cell>
        </row>
        <row r="369">
          <cell r="A369">
            <v>3904081</v>
          </cell>
          <cell r="G369" t="str">
            <v>LA00606061</v>
          </cell>
        </row>
        <row r="370">
          <cell r="A370">
            <v>375726</v>
          </cell>
          <cell r="G370" t="str">
            <v>SDSU01249</v>
          </cell>
        </row>
        <row r="371">
          <cell r="A371">
            <v>1367980</v>
          </cell>
          <cell r="G371" t="str">
            <v>DAV310436</v>
          </cell>
        </row>
        <row r="372">
          <cell r="A372">
            <v>3498289</v>
          </cell>
          <cell r="G372" t="str">
            <v>JEPS8424</v>
          </cell>
        </row>
        <row r="373">
          <cell r="A373">
            <v>3476616</v>
          </cell>
          <cell r="G373" t="str">
            <v>UC1046483</v>
          </cell>
        </row>
        <row r="374">
          <cell r="A374">
            <v>3035050</v>
          </cell>
          <cell r="G374" t="str">
            <v>CLARK-A1528-362</v>
          </cell>
        </row>
        <row r="375">
          <cell r="A375">
            <v>3036199</v>
          </cell>
          <cell r="G375" t="str">
            <v>CLARK-A1528-5387</v>
          </cell>
        </row>
        <row r="376">
          <cell r="A376">
            <v>375714</v>
          </cell>
          <cell r="G376" t="str">
            <v>SDSU01237</v>
          </cell>
        </row>
        <row r="377">
          <cell r="A377">
            <v>2262518</v>
          </cell>
          <cell r="G377" t="str">
            <v>LOB116473</v>
          </cell>
        </row>
        <row r="378">
          <cell r="A378">
            <v>2262517</v>
          </cell>
          <cell r="G378" t="str">
            <v>LOB116472</v>
          </cell>
        </row>
        <row r="379">
          <cell r="A379">
            <v>5504845</v>
          </cell>
          <cell r="G379">
            <v>684482</v>
          </cell>
        </row>
        <row r="380">
          <cell r="A380">
            <v>469000</v>
          </cell>
          <cell r="G380" t="str">
            <v>SD00062554</v>
          </cell>
        </row>
        <row r="381">
          <cell r="A381">
            <v>469021</v>
          </cell>
          <cell r="G381" t="str">
            <v>SD00061955</v>
          </cell>
        </row>
        <row r="382">
          <cell r="A382">
            <v>375708</v>
          </cell>
          <cell r="G382" t="str">
            <v>SDSU01231</v>
          </cell>
        </row>
        <row r="383">
          <cell r="A383">
            <v>753633</v>
          </cell>
        </row>
        <row r="384">
          <cell r="A384">
            <v>2311342</v>
          </cell>
          <cell r="G384">
            <v>74195</v>
          </cell>
        </row>
        <row r="385">
          <cell r="A385">
            <v>2411987</v>
          </cell>
          <cell r="G385">
            <v>74331</v>
          </cell>
        </row>
        <row r="386">
          <cell r="A386">
            <v>2414651</v>
          </cell>
          <cell r="G386">
            <v>74335</v>
          </cell>
        </row>
        <row r="387">
          <cell r="A387">
            <v>3792159</v>
          </cell>
          <cell r="G387" t="str">
            <v>FSC0010444</v>
          </cell>
        </row>
        <row r="388">
          <cell r="A388">
            <v>3792160</v>
          </cell>
          <cell r="G388" t="str">
            <v>FSC0010445</v>
          </cell>
        </row>
        <row r="389">
          <cell r="A389">
            <v>1028268</v>
          </cell>
        </row>
        <row r="390">
          <cell r="A390">
            <v>2262519</v>
          </cell>
          <cell r="G390" t="str">
            <v>LOB116474</v>
          </cell>
        </row>
        <row r="391">
          <cell r="A391">
            <v>304537</v>
          </cell>
          <cell r="G391" t="str">
            <v>UCSB031994</v>
          </cell>
        </row>
        <row r="392">
          <cell r="A392">
            <v>304554</v>
          </cell>
          <cell r="G392" t="str">
            <v>UCSB031998</v>
          </cell>
        </row>
        <row r="393">
          <cell r="A393">
            <v>304571</v>
          </cell>
          <cell r="G393" t="str">
            <v>UCSB032026</v>
          </cell>
        </row>
        <row r="394">
          <cell r="A394">
            <v>2962239</v>
          </cell>
          <cell r="G394" t="str">
            <v>HREC988</v>
          </cell>
        </row>
        <row r="395">
          <cell r="A395">
            <v>921047</v>
          </cell>
          <cell r="G395" t="str">
            <v>RSA0029813</v>
          </cell>
        </row>
        <row r="396">
          <cell r="A396">
            <v>2275918</v>
          </cell>
          <cell r="G396">
            <v>74350</v>
          </cell>
        </row>
        <row r="397">
          <cell r="A397">
            <v>1153085</v>
          </cell>
        </row>
        <row r="398">
          <cell r="A398">
            <v>3514143</v>
          </cell>
          <cell r="G398" t="str">
            <v>UC1252110</v>
          </cell>
        </row>
        <row r="399">
          <cell r="A399">
            <v>2360184</v>
          </cell>
          <cell r="G399">
            <v>74357</v>
          </cell>
        </row>
        <row r="400">
          <cell r="A400">
            <v>2423571</v>
          </cell>
          <cell r="G400">
            <v>74358</v>
          </cell>
        </row>
        <row r="401">
          <cell r="A401">
            <v>2061660</v>
          </cell>
          <cell r="G401" t="str">
            <v>CHSC000536</v>
          </cell>
        </row>
        <row r="402">
          <cell r="A402">
            <v>1367996</v>
          </cell>
          <cell r="G402" t="str">
            <v>AHUC100065</v>
          </cell>
        </row>
        <row r="403">
          <cell r="A403">
            <v>2324050</v>
          </cell>
          <cell r="G403">
            <v>74181</v>
          </cell>
        </row>
        <row r="404">
          <cell r="A404">
            <v>3792168</v>
          </cell>
          <cell r="G404" t="str">
            <v>FSC0010453</v>
          </cell>
        </row>
        <row r="405">
          <cell r="A405">
            <v>3792176</v>
          </cell>
          <cell r="G405" t="str">
            <v>FSC0010461</v>
          </cell>
        </row>
        <row r="406">
          <cell r="A406">
            <v>3792180</v>
          </cell>
          <cell r="G406" t="str">
            <v>FSC0010465</v>
          </cell>
        </row>
        <row r="407">
          <cell r="A407">
            <v>2370292</v>
          </cell>
          <cell r="G407">
            <v>74202</v>
          </cell>
        </row>
        <row r="408">
          <cell r="A408">
            <v>2262522</v>
          </cell>
          <cell r="G408" t="str">
            <v>LOB116477</v>
          </cell>
        </row>
        <row r="409">
          <cell r="A409">
            <v>705793</v>
          </cell>
        </row>
        <row r="410">
          <cell r="A410">
            <v>2262516</v>
          </cell>
          <cell r="G410" t="str">
            <v>LOB116471</v>
          </cell>
        </row>
        <row r="411">
          <cell r="A411">
            <v>304597</v>
          </cell>
          <cell r="G411" t="str">
            <v>UCSB032064</v>
          </cell>
        </row>
        <row r="412">
          <cell r="A412">
            <v>2413016</v>
          </cell>
          <cell r="G412">
            <v>74336</v>
          </cell>
        </row>
        <row r="413">
          <cell r="A413">
            <v>2282381</v>
          </cell>
          <cell r="G413">
            <v>74359</v>
          </cell>
        </row>
        <row r="414">
          <cell r="A414">
            <v>2380407</v>
          </cell>
          <cell r="G414">
            <v>74360</v>
          </cell>
        </row>
        <row r="415">
          <cell r="A415">
            <v>2460390</v>
          </cell>
          <cell r="G415">
            <v>74361</v>
          </cell>
        </row>
        <row r="416">
          <cell r="A416">
            <v>2283407</v>
          </cell>
          <cell r="G416">
            <v>74225</v>
          </cell>
        </row>
        <row r="417">
          <cell r="A417">
            <v>2355525</v>
          </cell>
          <cell r="G417">
            <v>74224</v>
          </cell>
        </row>
        <row r="418">
          <cell r="A418">
            <v>304567</v>
          </cell>
          <cell r="G418" t="str">
            <v>UCSB032031</v>
          </cell>
        </row>
        <row r="419">
          <cell r="A419">
            <v>2321963</v>
          </cell>
          <cell r="G419">
            <v>74308</v>
          </cell>
        </row>
        <row r="420">
          <cell r="A420">
            <v>4745883</v>
          </cell>
          <cell r="G420">
            <v>78052</v>
          </cell>
        </row>
        <row r="421">
          <cell r="A421">
            <v>2285742</v>
          </cell>
          <cell r="G421">
            <v>74327</v>
          </cell>
        </row>
        <row r="422">
          <cell r="A422">
            <v>202470</v>
          </cell>
          <cell r="G422" t="str">
            <v>OBI101765</v>
          </cell>
        </row>
        <row r="423">
          <cell r="A423">
            <v>4745865</v>
          </cell>
          <cell r="G423">
            <v>77917</v>
          </cell>
        </row>
        <row r="424">
          <cell r="A424">
            <v>610289</v>
          </cell>
          <cell r="G424" t="str">
            <v>SFV104573</v>
          </cell>
        </row>
        <row r="425">
          <cell r="A425">
            <v>2287008</v>
          </cell>
          <cell r="G425">
            <v>74320</v>
          </cell>
        </row>
        <row r="426">
          <cell r="A426">
            <v>2437632</v>
          </cell>
          <cell r="G426">
            <v>74321</v>
          </cell>
        </row>
        <row r="427">
          <cell r="A427">
            <v>2391489</v>
          </cell>
          <cell r="G427">
            <v>74332</v>
          </cell>
        </row>
        <row r="428">
          <cell r="A428">
            <v>304575</v>
          </cell>
          <cell r="G428" t="str">
            <v>UCSB032024</v>
          </cell>
        </row>
        <row r="429">
          <cell r="A429">
            <v>304604</v>
          </cell>
          <cell r="G429" t="str">
            <v>UCSB032057</v>
          </cell>
        </row>
        <row r="430">
          <cell r="A430">
            <v>304602</v>
          </cell>
          <cell r="G430" t="str">
            <v>UCSB032059</v>
          </cell>
        </row>
        <row r="431">
          <cell r="A431">
            <v>304573</v>
          </cell>
          <cell r="G431" t="str">
            <v>UCSB032028</v>
          </cell>
        </row>
        <row r="432">
          <cell r="A432">
            <v>2399359</v>
          </cell>
          <cell r="G432">
            <v>74349</v>
          </cell>
        </row>
        <row r="433">
          <cell r="A433">
            <v>3801181</v>
          </cell>
          <cell r="G433" t="str">
            <v>CSLA000825</v>
          </cell>
        </row>
        <row r="434">
          <cell r="A434">
            <v>3792181</v>
          </cell>
          <cell r="G434" t="str">
            <v>FSC0010466</v>
          </cell>
        </row>
        <row r="435">
          <cell r="A435">
            <v>1007312</v>
          </cell>
        </row>
        <row r="436">
          <cell r="A436">
            <v>2332340</v>
          </cell>
          <cell r="G436">
            <v>74271</v>
          </cell>
        </row>
        <row r="437">
          <cell r="A437">
            <v>2393200</v>
          </cell>
          <cell r="G437">
            <v>74270</v>
          </cell>
        </row>
        <row r="438">
          <cell r="A438">
            <v>1174478</v>
          </cell>
        </row>
        <row r="439">
          <cell r="A439">
            <v>1208522</v>
          </cell>
        </row>
        <row r="440">
          <cell r="A440">
            <v>2412262</v>
          </cell>
          <cell r="G440">
            <v>74328</v>
          </cell>
        </row>
        <row r="441">
          <cell r="A441">
            <v>2316628</v>
          </cell>
          <cell r="G441">
            <v>74323</v>
          </cell>
        </row>
        <row r="442">
          <cell r="A442">
            <v>2420423</v>
          </cell>
          <cell r="G442">
            <v>74322</v>
          </cell>
        </row>
        <row r="443">
          <cell r="A443">
            <v>2300993</v>
          </cell>
          <cell r="G443">
            <v>74325</v>
          </cell>
        </row>
        <row r="444">
          <cell r="A444">
            <v>202455</v>
          </cell>
          <cell r="G444" t="str">
            <v>OBI101767</v>
          </cell>
        </row>
        <row r="445">
          <cell r="A445">
            <v>304603</v>
          </cell>
          <cell r="G445" t="str">
            <v>UCSB032058</v>
          </cell>
        </row>
        <row r="446">
          <cell r="A446">
            <v>304594</v>
          </cell>
          <cell r="G446" t="str">
            <v>UCSB032036</v>
          </cell>
        </row>
        <row r="447">
          <cell r="A447">
            <v>2358623</v>
          </cell>
          <cell r="G447">
            <v>74178</v>
          </cell>
        </row>
        <row r="448">
          <cell r="A448">
            <v>2369931</v>
          </cell>
          <cell r="G448">
            <v>74273</v>
          </cell>
        </row>
        <row r="449">
          <cell r="A449">
            <v>2422780</v>
          </cell>
          <cell r="G449">
            <v>74272</v>
          </cell>
        </row>
        <row r="450">
          <cell r="A450">
            <v>3801194</v>
          </cell>
          <cell r="G450" t="str">
            <v>CSLA000831</v>
          </cell>
        </row>
        <row r="451">
          <cell r="A451">
            <v>1224569</v>
          </cell>
        </row>
        <row r="452">
          <cell r="A452">
            <v>2298844</v>
          </cell>
          <cell r="G452">
            <v>74186</v>
          </cell>
        </row>
        <row r="453">
          <cell r="A453">
            <v>4078612</v>
          </cell>
          <cell r="G453" t="str">
            <v>CDA-003828</v>
          </cell>
        </row>
        <row r="454">
          <cell r="A454">
            <v>304552</v>
          </cell>
          <cell r="G454" t="str">
            <v>UCSB032000</v>
          </cell>
        </row>
        <row r="455">
          <cell r="A455">
            <v>2369059</v>
          </cell>
          <cell r="G455">
            <v>74298</v>
          </cell>
        </row>
        <row r="456">
          <cell r="A456">
            <v>3386031</v>
          </cell>
          <cell r="G456" t="str">
            <v>UC2049883</v>
          </cell>
        </row>
        <row r="457">
          <cell r="A457">
            <v>2377415</v>
          </cell>
          <cell r="G457">
            <v>74330</v>
          </cell>
        </row>
        <row r="458">
          <cell r="A458">
            <v>304595</v>
          </cell>
          <cell r="G458" t="str">
            <v>UCSB032035</v>
          </cell>
        </row>
        <row r="459">
          <cell r="A459">
            <v>304570</v>
          </cell>
          <cell r="G459" t="str">
            <v>UCSB032025</v>
          </cell>
        </row>
        <row r="460">
          <cell r="A460">
            <v>304578</v>
          </cell>
          <cell r="G460" t="str">
            <v>UCSB032033</v>
          </cell>
        </row>
        <row r="461">
          <cell r="A461">
            <v>304572</v>
          </cell>
          <cell r="G461" t="str">
            <v>UCSB032027</v>
          </cell>
        </row>
        <row r="462">
          <cell r="A462">
            <v>304569</v>
          </cell>
          <cell r="G462" t="str">
            <v>UCSB032029</v>
          </cell>
        </row>
        <row r="463">
          <cell r="A463">
            <v>2393459</v>
          </cell>
          <cell r="G463">
            <v>74206</v>
          </cell>
        </row>
        <row r="464">
          <cell r="A464">
            <v>1310159</v>
          </cell>
          <cell r="G464" t="str">
            <v>AHUC100067</v>
          </cell>
        </row>
        <row r="465">
          <cell r="A465">
            <v>3792167</v>
          </cell>
          <cell r="G465" t="str">
            <v>FSC0010452</v>
          </cell>
        </row>
        <row r="466">
          <cell r="A466">
            <v>1368045</v>
          </cell>
          <cell r="G466" t="str">
            <v>DAV310389</v>
          </cell>
        </row>
        <row r="467">
          <cell r="A467">
            <v>304574</v>
          </cell>
          <cell r="G467" t="str">
            <v>UCSB032023</v>
          </cell>
        </row>
        <row r="468">
          <cell r="A468">
            <v>2291983</v>
          </cell>
          <cell r="G468">
            <v>74184</v>
          </cell>
        </row>
        <row r="469">
          <cell r="A469">
            <v>2465925</v>
          </cell>
          <cell r="G469">
            <v>74185</v>
          </cell>
        </row>
        <row r="470">
          <cell r="A470">
            <v>3801191</v>
          </cell>
          <cell r="G470" t="str">
            <v>CSLA000830</v>
          </cell>
        </row>
        <row r="471">
          <cell r="A471">
            <v>4721</v>
          </cell>
        </row>
        <row r="472">
          <cell r="A472">
            <v>652363</v>
          </cell>
        </row>
        <row r="473">
          <cell r="A473">
            <v>304598</v>
          </cell>
          <cell r="G473" t="str">
            <v>UCSB032063</v>
          </cell>
        </row>
        <row r="474">
          <cell r="A474">
            <v>2456431</v>
          </cell>
          <cell r="G474">
            <v>74282</v>
          </cell>
        </row>
        <row r="475">
          <cell r="A475">
            <v>4095380</v>
          </cell>
          <cell r="G475" t="str">
            <v>CDA-003833</v>
          </cell>
        </row>
        <row r="476">
          <cell r="A476">
            <v>4095405</v>
          </cell>
          <cell r="G476" t="str">
            <v>CDA-003829</v>
          </cell>
        </row>
        <row r="477">
          <cell r="A477">
            <v>202486</v>
          </cell>
          <cell r="G477" t="str">
            <v>OBI101768</v>
          </cell>
        </row>
        <row r="478">
          <cell r="A478">
            <v>116271</v>
          </cell>
          <cell r="G478" t="str">
            <v>SBBG213825</v>
          </cell>
        </row>
        <row r="479">
          <cell r="A479">
            <v>304605</v>
          </cell>
          <cell r="G479" t="str">
            <v>UCSB032056</v>
          </cell>
        </row>
        <row r="480">
          <cell r="A480">
            <v>304551</v>
          </cell>
          <cell r="G480" t="str">
            <v>UCSB032001</v>
          </cell>
        </row>
        <row r="481">
          <cell r="A481">
            <v>4745859</v>
          </cell>
          <cell r="G481">
            <v>77913</v>
          </cell>
        </row>
        <row r="482">
          <cell r="A482">
            <v>4745866</v>
          </cell>
          <cell r="G482">
            <v>77918</v>
          </cell>
        </row>
        <row r="483">
          <cell r="A483">
            <v>2866605</v>
          </cell>
          <cell r="G483" t="str">
            <v>MACF030447</v>
          </cell>
        </row>
        <row r="484">
          <cell r="A484">
            <v>2866807</v>
          </cell>
          <cell r="G484" t="str">
            <v>MACF030466</v>
          </cell>
        </row>
        <row r="485">
          <cell r="A485">
            <v>1368032</v>
          </cell>
          <cell r="G485" t="str">
            <v>DAV310405</v>
          </cell>
        </row>
        <row r="486">
          <cell r="A486">
            <v>3847652</v>
          </cell>
          <cell r="G486" t="str">
            <v>RSA0158686</v>
          </cell>
        </row>
        <row r="487">
          <cell r="A487">
            <v>5082640</v>
          </cell>
          <cell r="G487" t="str">
            <v>SD00055687</v>
          </cell>
        </row>
        <row r="488">
          <cell r="A488">
            <v>4567198</v>
          </cell>
          <cell r="G488" t="str">
            <v>SFSU-VP-000833</v>
          </cell>
        </row>
        <row r="489">
          <cell r="A489">
            <v>2406304</v>
          </cell>
          <cell r="G489">
            <v>74326</v>
          </cell>
        </row>
        <row r="490">
          <cell r="A490">
            <v>3792178</v>
          </cell>
          <cell r="G490" t="str">
            <v>FSC0010463</v>
          </cell>
        </row>
        <row r="491">
          <cell r="A491">
            <v>3792191</v>
          </cell>
          <cell r="G491" t="str">
            <v>FSC0010476</v>
          </cell>
        </row>
        <row r="492">
          <cell r="A492">
            <v>3042972</v>
          </cell>
          <cell r="G492" t="str">
            <v>CATA 02858</v>
          </cell>
        </row>
        <row r="493">
          <cell r="A493">
            <v>701419</v>
          </cell>
        </row>
        <row r="494">
          <cell r="A494">
            <v>1053432</v>
          </cell>
        </row>
        <row r="495">
          <cell r="A495">
            <v>1195442</v>
          </cell>
          <cell r="G495" t="str">
            <v>RSA0036268</v>
          </cell>
        </row>
        <row r="496">
          <cell r="A496">
            <v>76824</v>
          </cell>
          <cell r="G496" t="str">
            <v>SBBG155403</v>
          </cell>
        </row>
        <row r="497">
          <cell r="A497">
            <v>98773</v>
          </cell>
          <cell r="G497" t="str">
            <v>SBBG155404</v>
          </cell>
        </row>
        <row r="498">
          <cell r="A498">
            <v>304580</v>
          </cell>
          <cell r="G498" t="str">
            <v>UCSB032051</v>
          </cell>
        </row>
        <row r="499">
          <cell r="A499">
            <v>304581</v>
          </cell>
          <cell r="G499" t="str">
            <v>UCSB032050</v>
          </cell>
        </row>
        <row r="500">
          <cell r="A500">
            <v>304582</v>
          </cell>
          <cell r="G500" t="str">
            <v>UCSB032049</v>
          </cell>
        </row>
        <row r="501">
          <cell r="A501">
            <v>304583</v>
          </cell>
          <cell r="G501" t="str">
            <v>UCSB032048</v>
          </cell>
        </row>
        <row r="502">
          <cell r="A502">
            <v>304584</v>
          </cell>
          <cell r="G502" t="str">
            <v>UCSB032047</v>
          </cell>
        </row>
        <row r="503">
          <cell r="A503">
            <v>304585</v>
          </cell>
          <cell r="G503" t="str">
            <v>UCSB032046</v>
          </cell>
        </row>
        <row r="504">
          <cell r="A504">
            <v>304586</v>
          </cell>
          <cell r="G504" t="str">
            <v>UCSB032045</v>
          </cell>
        </row>
        <row r="505">
          <cell r="A505">
            <v>304587</v>
          </cell>
          <cell r="G505" t="str">
            <v>UCSB032044</v>
          </cell>
        </row>
        <row r="506">
          <cell r="A506">
            <v>304588</v>
          </cell>
          <cell r="G506" t="str">
            <v>UCSB032043</v>
          </cell>
        </row>
        <row r="507">
          <cell r="A507">
            <v>2569126</v>
          </cell>
          <cell r="G507">
            <v>227683</v>
          </cell>
        </row>
        <row r="508">
          <cell r="A508">
            <v>4745869</v>
          </cell>
          <cell r="G508">
            <v>77919</v>
          </cell>
        </row>
        <row r="509">
          <cell r="A509">
            <v>3792165</v>
          </cell>
          <cell r="G509" t="str">
            <v>FSC0010450</v>
          </cell>
        </row>
        <row r="510">
          <cell r="A510">
            <v>1368055</v>
          </cell>
          <cell r="G510" t="str">
            <v>DAV310400</v>
          </cell>
        </row>
        <row r="511">
          <cell r="A511">
            <v>1368054</v>
          </cell>
          <cell r="G511" t="str">
            <v>DAV310401</v>
          </cell>
        </row>
        <row r="512">
          <cell r="A512">
            <v>610292</v>
          </cell>
          <cell r="G512" t="str">
            <v>SFV104577</v>
          </cell>
        </row>
        <row r="513">
          <cell r="A513">
            <v>610291</v>
          </cell>
          <cell r="G513" t="str">
            <v>SFV104576</v>
          </cell>
        </row>
        <row r="514">
          <cell r="A514">
            <v>2378585</v>
          </cell>
          <cell r="G514">
            <v>74277</v>
          </cell>
        </row>
        <row r="515">
          <cell r="A515">
            <v>2262508</v>
          </cell>
          <cell r="G515" t="str">
            <v>LOB116463</v>
          </cell>
        </row>
        <row r="516">
          <cell r="A516">
            <v>2333212</v>
          </cell>
          <cell r="G516">
            <v>74290</v>
          </cell>
        </row>
        <row r="517">
          <cell r="A517">
            <v>2409497</v>
          </cell>
          <cell r="G517">
            <v>74291</v>
          </cell>
        </row>
        <row r="518">
          <cell r="A518">
            <v>3949199</v>
          </cell>
          <cell r="G518">
            <v>1996</v>
          </cell>
        </row>
        <row r="519">
          <cell r="A519">
            <v>3949202</v>
          </cell>
          <cell r="G519">
            <v>1994</v>
          </cell>
        </row>
        <row r="520">
          <cell r="A520">
            <v>3949201</v>
          </cell>
          <cell r="G520">
            <v>1995</v>
          </cell>
        </row>
        <row r="521">
          <cell r="A521">
            <v>4564850</v>
          </cell>
          <cell r="G521" t="str">
            <v>SFSU-VP-000839</v>
          </cell>
        </row>
        <row r="522">
          <cell r="A522">
            <v>2298121</v>
          </cell>
          <cell r="G522">
            <v>74191</v>
          </cell>
        </row>
        <row r="523">
          <cell r="A523">
            <v>2289763</v>
          </cell>
          <cell r="G523">
            <v>74313</v>
          </cell>
        </row>
        <row r="524">
          <cell r="A524">
            <v>1163065</v>
          </cell>
        </row>
        <row r="525">
          <cell r="A525">
            <v>1219161</v>
          </cell>
        </row>
        <row r="526">
          <cell r="A526">
            <v>43829</v>
          </cell>
          <cell r="G526" t="str">
            <v>SBBG155537</v>
          </cell>
        </row>
        <row r="527">
          <cell r="A527">
            <v>304601</v>
          </cell>
          <cell r="G527" t="str">
            <v>UCSB032060</v>
          </cell>
        </row>
        <row r="528">
          <cell r="A528">
            <v>2290828</v>
          </cell>
          <cell r="G528">
            <v>74234</v>
          </cell>
        </row>
        <row r="529">
          <cell r="A529">
            <v>1368025</v>
          </cell>
          <cell r="G529" t="str">
            <v>DAV310409</v>
          </cell>
        </row>
        <row r="530">
          <cell r="A530">
            <v>3414522</v>
          </cell>
          <cell r="G530" t="str">
            <v>JEPS45441</v>
          </cell>
        </row>
        <row r="531">
          <cell r="A531">
            <v>3292668</v>
          </cell>
          <cell r="G531" t="str">
            <v>JEPS45440</v>
          </cell>
        </row>
        <row r="532">
          <cell r="A532">
            <v>2442814</v>
          </cell>
          <cell r="G532">
            <v>74240</v>
          </cell>
        </row>
        <row r="533">
          <cell r="A533">
            <v>1367997</v>
          </cell>
          <cell r="G533" t="str">
            <v>AHUC100068</v>
          </cell>
        </row>
        <row r="534">
          <cell r="A534">
            <v>5569675</v>
          </cell>
          <cell r="G534">
            <v>684518</v>
          </cell>
        </row>
        <row r="535">
          <cell r="A535">
            <v>5504863</v>
          </cell>
          <cell r="G535">
            <v>684502</v>
          </cell>
        </row>
        <row r="536">
          <cell r="A536">
            <v>5569850</v>
          </cell>
          <cell r="G536">
            <v>685177</v>
          </cell>
        </row>
        <row r="537">
          <cell r="A537">
            <v>1367998</v>
          </cell>
          <cell r="G537" t="str">
            <v>DAV310418</v>
          </cell>
        </row>
        <row r="538">
          <cell r="A538">
            <v>992535</v>
          </cell>
          <cell r="G538" t="str">
            <v>RSA0191131</v>
          </cell>
        </row>
        <row r="539">
          <cell r="A539">
            <v>978189</v>
          </cell>
        </row>
        <row r="540">
          <cell r="A540">
            <v>137222</v>
          </cell>
          <cell r="G540" t="str">
            <v>SBBG155411</v>
          </cell>
        </row>
        <row r="541">
          <cell r="A541">
            <v>469001</v>
          </cell>
          <cell r="G541" t="str">
            <v>SD00013784</v>
          </cell>
        </row>
        <row r="542">
          <cell r="A542">
            <v>5504851</v>
          </cell>
          <cell r="G542">
            <v>684488</v>
          </cell>
        </row>
        <row r="543">
          <cell r="A543">
            <v>2373106</v>
          </cell>
          <cell r="G543">
            <v>74226</v>
          </cell>
        </row>
        <row r="544">
          <cell r="A544">
            <v>3035049</v>
          </cell>
          <cell r="G544" t="str">
            <v>CLARK-A1528-363</v>
          </cell>
        </row>
        <row r="545">
          <cell r="A545">
            <v>375720</v>
          </cell>
          <cell r="G545" t="str">
            <v>SDSU01243</v>
          </cell>
        </row>
        <row r="546">
          <cell r="A546">
            <v>2960569</v>
          </cell>
          <cell r="G546" t="str">
            <v>IRVC101167</v>
          </cell>
        </row>
        <row r="547">
          <cell r="A547">
            <v>469002</v>
          </cell>
          <cell r="G547" t="str">
            <v>SD00062666</v>
          </cell>
        </row>
        <row r="548">
          <cell r="A548">
            <v>375702</v>
          </cell>
          <cell r="G548" t="str">
            <v>SDSU01225</v>
          </cell>
        </row>
        <row r="549">
          <cell r="A549">
            <v>375701</v>
          </cell>
          <cell r="G549" t="str">
            <v>SDSU01224</v>
          </cell>
        </row>
        <row r="550">
          <cell r="A550">
            <v>375700</v>
          </cell>
          <cell r="G550" t="str">
            <v>SDSU01223</v>
          </cell>
        </row>
        <row r="551">
          <cell r="A551">
            <v>375690</v>
          </cell>
          <cell r="G551" t="str">
            <v>SDSU01213</v>
          </cell>
        </row>
        <row r="552">
          <cell r="A552">
            <v>375699</v>
          </cell>
          <cell r="G552" t="str">
            <v>SDSU01222</v>
          </cell>
        </row>
        <row r="553">
          <cell r="A553">
            <v>376201</v>
          </cell>
          <cell r="G553" t="str">
            <v>SDSU01729</v>
          </cell>
        </row>
        <row r="554">
          <cell r="A554">
            <v>4567195</v>
          </cell>
          <cell r="G554" t="str">
            <v>SFSU-VP-000836</v>
          </cell>
        </row>
        <row r="555">
          <cell r="A555">
            <v>5504855</v>
          </cell>
          <cell r="G555">
            <v>684492</v>
          </cell>
        </row>
        <row r="556">
          <cell r="A556">
            <v>5504856</v>
          </cell>
          <cell r="G556">
            <v>684493</v>
          </cell>
        </row>
        <row r="557">
          <cell r="A557">
            <v>5504857</v>
          </cell>
          <cell r="G557">
            <v>684494</v>
          </cell>
        </row>
        <row r="558">
          <cell r="A558">
            <v>2960568</v>
          </cell>
          <cell r="G558" t="str">
            <v>IRVC101168</v>
          </cell>
        </row>
        <row r="559">
          <cell r="A559">
            <v>2960570</v>
          </cell>
          <cell r="G559" t="str">
            <v>IRVC101170</v>
          </cell>
        </row>
        <row r="560">
          <cell r="A560">
            <v>304535</v>
          </cell>
          <cell r="G560" t="str">
            <v>UCSB031996</v>
          </cell>
        </row>
        <row r="561">
          <cell r="A561">
            <v>2890849</v>
          </cell>
          <cell r="G561" t="str">
            <v>IRVC100801</v>
          </cell>
        </row>
        <row r="562">
          <cell r="A562">
            <v>2960499</v>
          </cell>
          <cell r="G562" t="str">
            <v>IRVC101205</v>
          </cell>
        </row>
        <row r="563">
          <cell r="A563">
            <v>4745855</v>
          </cell>
          <cell r="G563">
            <v>77909</v>
          </cell>
        </row>
        <row r="564">
          <cell r="A564">
            <v>2345323</v>
          </cell>
          <cell r="G564">
            <v>74239</v>
          </cell>
        </row>
        <row r="565">
          <cell r="A565">
            <v>5569676</v>
          </cell>
          <cell r="G565">
            <v>684519</v>
          </cell>
        </row>
        <row r="566">
          <cell r="A566">
            <v>5504847</v>
          </cell>
          <cell r="G566">
            <v>684484</v>
          </cell>
        </row>
        <row r="567">
          <cell r="A567">
            <v>5569673</v>
          </cell>
          <cell r="G567">
            <v>684516</v>
          </cell>
        </row>
        <row r="568">
          <cell r="A568">
            <v>5504861</v>
          </cell>
          <cell r="G568">
            <v>684499</v>
          </cell>
        </row>
        <row r="569">
          <cell r="A569">
            <v>4745864</v>
          </cell>
          <cell r="G569">
            <v>77916</v>
          </cell>
        </row>
        <row r="570">
          <cell r="A570">
            <v>1367986</v>
          </cell>
          <cell r="G570" t="str">
            <v>DAV300675</v>
          </cell>
        </row>
        <row r="571">
          <cell r="A571">
            <v>3904072</v>
          </cell>
          <cell r="G571" t="str">
            <v>LA00606052</v>
          </cell>
        </row>
        <row r="572">
          <cell r="A572">
            <v>3904071</v>
          </cell>
          <cell r="G572" t="str">
            <v>LA00606053</v>
          </cell>
        </row>
        <row r="573">
          <cell r="A573">
            <v>1097620</v>
          </cell>
          <cell r="G573" t="str">
            <v>RSA0051704</v>
          </cell>
        </row>
        <row r="574">
          <cell r="A574">
            <v>121316</v>
          </cell>
          <cell r="G574" t="str">
            <v>SBBG213837</v>
          </cell>
        </row>
        <row r="575">
          <cell r="A575">
            <v>95436</v>
          </cell>
          <cell r="G575" t="str">
            <v>SBBG155524</v>
          </cell>
        </row>
        <row r="576">
          <cell r="A576">
            <v>202469</v>
          </cell>
          <cell r="G576" t="str">
            <v>OBI101766</v>
          </cell>
        </row>
        <row r="577">
          <cell r="A577">
            <v>2462821</v>
          </cell>
          <cell r="G577">
            <v>74307</v>
          </cell>
        </row>
        <row r="578">
          <cell r="A578">
            <v>2388759</v>
          </cell>
          <cell r="G578">
            <v>74306</v>
          </cell>
        </row>
        <row r="579">
          <cell r="A579">
            <v>2866856</v>
          </cell>
          <cell r="G579" t="str">
            <v>MACF030465</v>
          </cell>
        </row>
        <row r="580">
          <cell r="A580">
            <v>2866505</v>
          </cell>
          <cell r="G580" t="str">
            <v>MACF030455</v>
          </cell>
        </row>
        <row r="581">
          <cell r="A581">
            <v>375691</v>
          </cell>
          <cell r="G581" t="str">
            <v>SDSU01214</v>
          </cell>
        </row>
        <row r="582">
          <cell r="A582">
            <v>375692</v>
          </cell>
          <cell r="G582" t="str">
            <v>SDSU01215</v>
          </cell>
        </row>
        <row r="583">
          <cell r="A583">
            <v>4567200</v>
          </cell>
          <cell r="G583" t="str">
            <v>SFSU-VP-000831</v>
          </cell>
        </row>
        <row r="584">
          <cell r="A584">
            <v>2447532</v>
          </cell>
          <cell r="G584">
            <v>74341</v>
          </cell>
        </row>
        <row r="585">
          <cell r="A585">
            <v>2371446</v>
          </cell>
          <cell r="G585">
            <v>74337</v>
          </cell>
        </row>
        <row r="586">
          <cell r="A586">
            <v>5569677</v>
          </cell>
          <cell r="G586">
            <v>684520</v>
          </cell>
        </row>
        <row r="587">
          <cell r="A587">
            <v>5504875</v>
          </cell>
          <cell r="G587">
            <v>684514</v>
          </cell>
        </row>
        <row r="588">
          <cell r="A588">
            <v>5504867</v>
          </cell>
          <cell r="G588">
            <v>684506</v>
          </cell>
        </row>
        <row r="589">
          <cell r="A589">
            <v>5504862</v>
          </cell>
          <cell r="G589">
            <v>684501</v>
          </cell>
        </row>
        <row r="590">
          <cell r="A590">
            <v>2318143</v>
          </cell>
          <cell r="G590">
            <v>74176</v>
          </cell>
        </row>
        <row r="591">
          <cell r="A591">
            <v>5569682</v>
          </cell>
          <cell r="G591">
            <v>684525</v>
          </cell>
        </row>
        <row r="592">
          <cell r="A592">
            <v>3792169</v>
          </cell>
          <cell r="G592" t="str">
            <v>FSC0010454</v>
          </cell>
        </row>
        <row r="593">
          <cell r="A593">
            <v>3792161</v>
          </cell>
          <cell r="G593" t="str">
            <v>FSC0010446</v>
          </cell>
        </row>
        <row r="594">
          <cell r="A594">
            <v>2866858</v>
          </cell>
          <cell r="G594" t="str">
            <v>MACF030459</v>
          </cell>
        </row>
        <row r="595">
          <cell r="A595">
            <v>57675</v>
          </cell>
          <cell r="G595" t="str">
            <v>SBBG213833</v>
          </cell>
        </row>
        <row r="596">
          <cell r="A596">
            <v>304568</v>
          </cell>
          <cell r="G596" t="str">
            <v>UCSB032032</v>
          </cell>
        </row>
        <row r="597">
          <cell r="A597">
            <v>2424544</v>
          </cell>
          <cell r="G597">
            <v>74190</v>
          </cell>
        </row>
        <row r="598">
          <cell r="A598">
            <v>1294396</v>
          </cell>
          <cell r="G598" t="str">
            <v>CSUSB92103</v>
          </cell>
        </row>
        <row r="599">
          <cell r="A599">
            <v>2866747</v>
          </cell>
          <cell r="G599" t="str">
            <v>MACF030462</v>
          </cell>
        </row>
        <row r="600">
          <cell r="A600">
            <v>2866696</v>
          </cell>
          <cell r="G600" t="str">
            <v>MACF030461</v>
          </cell>
        </row>
        <row r="601">
          <cell r="A601">
            <v>2866720</v>
          </cell>
          <cell r="G601" t="str">
            <v>MACF030460</v>
          </cell>
        </row>
        <row r="602">
          <cell r="A602">
            <v>2866560</v>
          </cell>
          <cell r="G602" t="str">
            <v>MACF030456</v>
          </cell>
        </row>
        <row r="603">
          <cell r="A603">
            <v>1368046</v>
          </cell>
          <cell r="G603" t="str">
            <v>DAV310388</v>
          </cell>
        </row>
        <row r="604">
          <cell r="A604">
            <v>1032722</v>
          </cell>
          <cell r="G604" t="str">
            <v>RSA0077525</v>
          </cell>
        </row>
        <row r="605">
          <cell r="A605">
            <v>720189</v>
          </cell>
        </row>
        <row r="606">
          <cell r="A606">
            <v>2359386</v>
          </cell>
          <cell r="G606">
            <v>74319</v>
          </cell>
        </row>
        <row r="607">
          <cell r="A607">
            <v>2390281</v>
          </cell>
          <cell r="G607">
            <v>74318</v>
          </cell>
        </row>
        <row r="608">
          <cell r="A608">
            <v>375693</v>
          </cell>
          <cell r="G608" t="str">
            <v>SDSU01216</v>
          </cell>
        </row>
        <row r="609">
          <cell r="A609">
            <v>202487</v>
          </cell>
          <cell r="G609" t="str">
            <v>OBI101753</v>
          </cell>
        </row>
        <row r="610">
          <cell r="A610">
            <v>2464854</v>
          </cell>
          <cell r="G610">
            <v>74334</v>
          </cell>
        </row>
        <row r="611">
          <cell r="A611">
            <v>2960498</v>
          </cell>
          <cell r="G611" t="str">
            <v>IRVC101206</v>
          </cell>
        </row>
        <row r="612">
          <cell r="A612">
            <v>3792174</v>
          </cell>
          <cell r="G612" t="str">
            <v>FSC0010459</v>
          </cell>
        </row>
        <row r="613">
          <cell r="A613">
            <v>2391912</v>
          </cell>
          <cell r="G613">
            <v>74211</v>
          </cell>
        </row>
        <row r="614">
          <cell r="A614">
            <v>2433969</v>
          </cell>
          <cell r="G614">
            <v>74212</v>
          </cell>
        </row>
        <row r="615">
          <cell r="A615">
            <v>2462190</v>
          </cell>
          <cell r="G615">
            <v>74213</v>
          </cell>
        </row>
        <row r="616">
          <cell r="A616">
            <v>1310405</v>
          </cell>
          <cell r="G616" t="str">
            <v>AHUC100080</v>
          </cell>
        </row>
        <row r="617">
          <cell r="A617">
            <v>3612022</v>
          </cell>
        </row>
        <row r="618">
          <cell r="A618">
            <v>3612035</v>
          </cell>
        </row>
        <row r="619">
          <cell r="A619">
            <v>3612033</v>
          </cell>
        </row>
        <row r="620">
          <cell r="A620">
            <v>3612021</v>
          </cell>
        </row>
        <row r="621">
          <cell r="A621">
            <v>2061760</v>
          </cell>
          <cell r="G621" t="str">
            <v>CHSC000537</v>
          </cell>
        </row>
        <row r="622">
          <cell r="A622">
            <v>610287</v>
          </cell>
          <cell r="G622" t="str">
            <v>SFV104571</v>
          </cell>
        </row>
        <row r="623">
          <cell r="A623">
            <v>2415893</v>
          </cell>
          <cell r="G623">
            <v>74269</v>
          </cell>
        </row>
        <row r="624">
          <cell r="A624">
            <v>3792166</v>
          </cell>
          <cell r="G624" t="str">
            <v>FSC0010451</v>
          </cell>
        </row>
        <row r="625">
          <cell r="A625">
            <v>3792175</v>
          </cell>
          <cell r="G625" t="str">
            <v>FSC0010460</v>
          </cell>
        </row>
        <row r="626">
          <cell r="A626">
            <v>3792177</v>
          </cell>
          <cell r="G626" t="str">
            <v>FSC0010462</v>
          </cell>
        </row>
        <row r="627">
          <cell r="A627">
            <v>1808949</v>
          </cell>
          <cell r="G627" t="str">
            <v>HSC232323</v>
          </cell>
        </row>
        <row r="628">
          <cell r="A628">
            <v>1808960</v>
          </cell>
          <cell r="G628" t="str">
            <v>HSC232319</v>
          </cell>
        </row>
        <row r="629">
          <cell r="A629">
            <v>920853</v>
          </cell>
        </row>
        <row r="630">
          <cell r="A630">
            <v>712539</v>
          </cell>
        </row>
        <row r="631">
          <cell r="A631">
            <v>469004</v>
          </cell>
          <cell r="G631" t="str">
            <v>SD00062568</v>
          </cell>
        </row>
        <row r="632">
          <cell r="A632">
            <v>469003</v>
          </cell>
          <cell r="G632" t="str">
            <v>SD00062801</v>
          </cell>
        </row>
        <row r="633">
          <cell r="A633">
            <v>4567193</v>
          </cell>
          <cell r="G633" t="str">
            <v>SFSU-VP-000838</v>
          </cell>
        </row>
        <row r="634">
          <cell r="A634">
            <v>631776</v>
          </cell>
          <cell r="G634" t="str">
            <v>IRVC101185</v>
          </cell>
        </row>
        <row r="635">
          <cell r="A635">
            <v>631791</v>
          </cell>
          <cell r="G635" t="str">
            <v>IRVC101191</v>
          </cell>
        </row>
        <row r="636">
          <cell r="A636">
            <v>631782</v>
          </cell>
          <cell r="G636" t="str">
            <v>IRVC101200</v>
          </cell>
        </row>
        <row r="637">
          <cell r="A637">
            <v>631787</v>
          </cell>
          <cell r="G637" t="str">
            <v>IRVC101195</v>
          </cell>
        </row>
        <row r="638">
          <cell r="A638">
            <v>631764</v>
          </cell>
          <cell r="G638" t="str">
            <v>IRVC101196</v>
          </cell>
        </row>
        <row r="639">
          <cell r="A639">
            <v>631762</v>
          </cell>
          <cell r="G639" t="str">
            <v>IRVC101161</v>
          </cell>
        </row>
        <row r="640">
          <cell r="A640">
            <v>631774</v>
          </cell>
          <cell r="G640" t="str">
            <v>IRVC101176</v>
          </cell>
        </row>
        <row r="641">
          <cell r="A641">
            <v>2960501</v>
          </cell>
          <cell r="G641" t="str">
            <v>IRVC101199</v>
          </cell>
        </row>
        <row r="642">
          <cell r="A642">
            <v>631769</v>
          </cell>
          <cell r="G642" t="str">
            <v>IRVC101183</v>
          </cell>
        </row>
        <row r="643">
          <cell r="A643">
            <v>631768</v>
          </cell>
          <cell r="G643" t="str">
            <v>IRVC101182</v>
          </cell>
        </row>
        <row r="644">
          <cell r="A644">
            <v>631770</v>
          </cell>
          <cell r="G644" t="str">
            <v>IRVC101177</v>
          </cell>
        </row>
        <row r="645">
          <cell r="A645">
            <v>631784</v>
          </cell>
          <cell r="G645" t="str">
            <v>IRVC101197</v>
          </cell>
        </row>
        <row r="646">
          <cell r="A646">
            <v>631785</v>
          </cell>
          <cell r="G646" t="str">
            <v>IRVC101171</v>
          </cell>
        </row>
        <row r="647">
          <cell r="A647">
            <v>631771</v>
          </cell>
          <cell r="G647" t="str">
            <v>IRVC101194</v>
          </cell>
        </row>
        <row r="648">
          <cell r="A648">
            <v>631779</v>
          </cell>
          <cell r="G648" t="str">
            <v>IRVC101184</v>
          </cell>
        </row>
        <row r="649">
          <cell r="A649">
            <v>631765</v>
          </cell>
          <cell r="G649" t="str">
            <v>IRVC101187</v>
          </cell>
        </row>
        <row r="650">
          <cell r="A650">
            <v>2960494</v>
          </cell>
          <cell r="G650" t="str">
            <v>IRVC101162</v>
          </cell>
        </row>
        <row r="651">
          <cell r="A651">
            <v>631777</v>
          </cell>
          <cell r="G651" t="str">
            <v>IRVC101179</v>
          </cell>
        </row>
        <row r="652">
          <cell r="A652">
            <v>631789</v>
          </cell>
          <cell r="G652" t="str">
            <v>IRVC101189</v>
          </cell>
        </row>
        <row r="653">
          <cell r="A653">
            <v>631786</v>
          </cell>
          <cell r="G653" t="str">
            <v>IRVC101172</v>
          </cell>
        </row>
        <row r="654">
          <cell r="A654">
            <v>631772</v>
          </cell>
          <cell r="G654" t="str">
            <v>IRVC101198</v>
          </cell>
        </row>
        <row r="655">
          <cell r="A655">
            <v>631758</v>
          </cell>
          <cell r="G655" t="str">
            <v>IRVC101163</v>
          </cell>
        </row>
        <row r="656">
          <cell r="A656">
            <v>631760</v>
          </cell>
          <cell r="G656" t="str">
            <v>IRVC101158</v>
          </cell>
        </row>
        <row r="657">
          <cell r="A657">
            <v>631790</v>
          </cell>
          <cell r="G657" t="str">
            <v>IRVC101175</v>
          </cell>
        </row>
        <row r="658">
          <cell r="A658">
            <v>631773</v>
          </cell>
          <cell r="G658" t="str">
            <v>IRVC101193</v>
          </cell>
        </row>
        <row r="659">
          <cell r="A659">
            <v>631761</v>
          </cell>
          <cell r="G659" t="str">
            <v>IRVC101216</v>
          </cell>
        </row>
        <row r="660">
          <cell r="A660">
            <v>631775</v>
          </cell>
          <cell r="G660" t="str">
            <v>IRVC101186</v>
          </cell>
        </row>
        <row r="661">
          <cell r="A661">
            <v>631783</v>
          </cell>
          <cell r="G661" t="str">
            <v>IRVC101180</v>
          </cell>
        </row>
        <row r="662">
          <cell r="A662">
            <v>631763</v>
          </cell>
          <cell r="G662" t="str">
            <v>IRVC101173</v>
          </cell>
        </row>
        <row r="663">
          <cell r="A663">
            <v>631767</v>
          </cell>
          <cell r="G663" t="str">
            <v>IRVC101178</v>
          </cell>
        </row>
        <row r="664">
          <cell r="A664">
            <v>631780</v>
          </cell>
          <cell r="G664" t="str">
            <v>IRVC101188</v>
          </cell>
        </row>
        <row r="665">
          <cell r="A665">
            <v>631778</v>
          </cell>
          <cell r="G665" t="str">
            <v>IRVC101181</v>
          </cell>
        </row>
        <row r="666">
          <cell r="A666">
            <v>631766</v>
          </cell>
          <cell r="G666" t="str">
            <v>IRVC101174</v>
          </cell>
        </row>
        <row r="667">
          <cell r="A667">
            <v>2960503</v>
          </cell>
          <cell r="G667" t="str">
            <v>IRVC101190</v>
          </cell>
        </row>
        <row r="668">
          <cell r="A668">
            <v>631759</v>
          </cell>
          <cell r="G668" t="str">
            <v>IRVC101215</v>
          </cell>
        </row>
        <row r="669">
          <cell r="A669">
            <v>2960495</v>
          </cell>
          <cell r="G669" t="str">
            <v>IRVC101209</v>
          </cell>
        </row>
        <row r="670">
          <cell r="A670">
            <v>2960496</v>
          </cell>
          <cell r="G670" t="str">
            <v>IRVC101208</v>
          </cell>
        </row>
        <row r="671">
          <cell r="A671">
            <v>2960502</v>
          </cell>
          <cell r="G671" t="str">
            <v>IRVC101192</v>
          </cell>
        </row>
        <row r="672">
          <cell r="A672">
            <v>1443133</v>
          </cell>
          <cell r="G672" t="str">
            <v>UCR0083345</v>
          </cell>
        </row>
        <row r="673">
          <cell r="A673">
            <v>5504854</v>
          </cell>
          <cell r="G673">
            <v>684491</v>
          </cell>
        </row>
        <row r="674">
          <cell r="A674">
            <v>375694</v>
          </cell>
          <cell r="G674" t="str">
            <v>SDSU01217</v>
          </cell>
        </row>
        <row r="675">
          <cell r="A675">
            <v>1808927</v>
          </cell>
          <cell r="G675" t="str">
            <v>HSC232317</v>
          </cell>
        </row>
        <row r="676">
          <cell r="A676">
            <v>3612018</v>
          </cell>
        </row>
        <row r="677">
          <cell r="A677">
            <v>3612416</v>
          </cell>
        </row>
        <row r="678">
          <cell r="A678">
            <v>3792173</v>
          </cell>
          <cell r="G678" t="str">
            <v>FSC0010458</v>
          </cell>
        </row>
        <row r="679">
          <cell r="A679">
            <v>1808970</v>
          </cell>
          <cell r="G679" t="str">
            <v>HSC232325</v>
          </cell>
        </row>
        <row r="680">
          <cell r="A680">
            <v>2960497</v>
          </cell>
          <cell r="G680" t="str">
            <v>IRVC101207</v>
          </cell>
        </row>
        <row r="681">
          <cell r="A681">
            <v>202499</v>
          </cell>
          <cell r="G681" t="str">
            <v>OBI101745</v>
          </cell>
        </row>
        <row r="682">
          <cell r="A682">
            <v>114382</v>
          </cell>
          <cell r="G682" t="str">
            <v>SBBG155528</v>
          </cell>
        </row>
        <row r="683">
          <cell r="A683">
            <v>136410</v>
          </cell>
          <cell r="G683" t="str">
            <v>SBBG155529</v>
          </cell>
        </row>
        <row r="684">
          <cell r="A684">
            <v>158155</v>
          </cell>
          <cell r="G684" t="str">
            <v>SBBG155530</v>
          </cell>
        </row>
        <row r="685">
          <cell r="A685">
            <v>59642</v>
          </cell>
          <cell r="G685" t="str">
            <v>SBBG155402</v>
          </cell>
        </row>
        <row r="686">
          <cell r="A686">
            <v>2061832</v>
          </cell>
          <cell r="G686" t="str">
            <v>CHSC000538</v>
          </cell>
        </row>
        <row r="687">
          <cell r="A687">
            <v>5504872</v>
          </cell>
          <cell r="G687">
            <v>684511</v>
          </cell>
        </row>
        <row r="688">
          <cell r="A688">
            <v>5504871</v>
          </cell>
          <cell r="G688">
            <v>684510</v>
          </cell>
        </row>
        <row r="689">
          <cell r="A689">
            <v>5504874</v>
          </cell>
          <cell r="G689">
            <v>684513</v>
          </cell>
        </row>
        <row r="690">
          <cell r="A690">
            <v>5504864</v>
          </cell>
          <cell r="G690">
            <v>684503</v>
          </cell>
        </row>
        <row r="691">
          <cell r="A691">
            <v>5569679</v>
          </cell>
          <cell r="G691">
            <v>684522</v>
          </cell>
        </row>
        <row r="692">
          <cell r="A692">
            <v>5504849</v>
          </cell>
          <cell r="G692">
            <v>684486</v>
          </cell>
        </row>
        <row r="693">
          <cell r="A693">
            <v>5569672</v>
          </cell>
          <cell r="G693">
            <v>684515</v>
          </cell>
        </row>
        <row r="694">
          <cell r="A694">
            <v>5569678</v>
          </cell>
          <cell r="G694">
            <v>684521</v>
          </cell>
        </row>
        <row r="695">
          <cell r="A695">
            <v>2030475</v>
          </cell>
          <cell r="G695" t="str">
            <v>CHSC010657</v>
          </cell>
        </row>
        <row r="696">
          <cell r="A696">
            <v>5569849</v>
          </cell>
          <cell r="G696">
            <v>685176</v>
          </cell>
        </row>
        <row r="697">
          <cell r="A697">
            <v>3792163</v>
          </cell>
          <cell r="G697" t="str">
            <v>FSC0010448</v>
          </cell>
        </row>
        <row r="698">
          <cell r="A698">
            <v>202456</v>
          </cell>
          <cell r="G698" t="str">
            <v>OBI101764</v>
          </cell>
        </row>
        <row r="699">
          <cell r="A699">
            <v>993506</v>
          </cell>
        </row>
        <row r="700">
          <cell r="A700">
            <v>863673</v>
          </cell>
        </row>
        <row r="701">
          <cell r="A701">
            <v>1145586</v>
          </cell>
        </row>
        <row r="702">
          <cell r="A702">
            <v>1064654</v>
          </cell>
        </row>
        <row r="703">
          <cell r="A703">
            <v>123042</v>
          </cell>
          <cell r="G703" t="str">
            <v>SBBG155538</v>
          </cell>
        </row>
        <row r="704">
          <cell r="A704">
            <v>132420</v>
          </cell>
          <cell r="G704" t="str">
            <v>SBBG155410</v>
          </cell>
        </row>
        <row r="705">
          <cell r="A705">
            <v>610293</v>
          </cell>
          <cell r="G705" t="str">
            <v>SFV104578</v>
          </cell>
        </row>
        <row r="706">
          <cell r="A706">
            <v>3428915</v>
          </cell>
          <cell r="G706" t="str">
            <v>UC1327247</v>
          </cell>
        </row>
        <row r="707">
          <cell r="A707">
            <v>2425563</v>
          </cell>
          <cell r="G707">
            <v>74285</v>
          </cell>
        </row>
        <row r="708">
          <cell r="A708">
            <v>2324744</v>
          </cell>
          <cell r="G708">
            <v>74284</v>
          </cell>
        </row>
        <row r="709">
          <cell r="A709">
            <v>2359565</v>
          </cell>
          <cell r="G709">
            <v>74193</v>
          </cell>
        </row>
        <row r="710">
          <cell r="A710">
            <v>3801169</v>
          </cell>
          <cell r="G710" t="str">
            <v>CSLA000820</v>
          </cell>
        </row>
        <row r="711">
          <cell r="A711">
            <v>2866761</v>
          </cell>
          <cell r="G711" t="str">
            <v>MACF030463</v>
          </cell>
        </row>
        <row r="712">
          <cell r="A712">
            <v>2866502</v>
          </cell>
          <cell r="G712" t="str">
            <v>MACF030469</v>
          </cell>
        </row>
        <row r="713">
          <cell r="A713">
            <v>2866608</v>
          </cell>
          <cell r="G713" t="str">
            <v>MACF030453</v>
          </cell>
        </row>
        <row r="714">
          <cell r="A714">
            <v>1194214</v>
          </cell>
        </row>
        <row r="715">
          <cell r="A715">
            <v>783353</v>
          </cell>
          <cell r="G715" t="str">
            <v>RSA0064525</v>
          </cell>
        </row>
        <row r="716">
          <cell r="A716">
            <v>2422811</v>
          </cell>
          <cell r="G716">
            <v>74227</v>
          </cell>
        </row>
        <row r="717">
          <cell r="A717">
            <v>3035051</v>
          </cell>
          <cell r="G717" t="str">
            <v>CLARK-A1528-361</v>
          </cell>
        </row>
        <row r="718">
          <cell r="A718">
            <v>1294395</v>
          </cell>
          <cell r="G718" t="str">
            <v>CSUSB92102</v>
          </cell>
        </row>
        <row r="719">
          <cell r="A719">
            <v>1368030</v>
          </cell>
          <cell r="G719" t="str">
            <v>DAV310406</v>
          </cell>
        </row>
        <row r="720">
          <cell r="A720">
            <v>1049270</v>
          </cell>
        </row>
        <row r="721">
          <cell r="A721">
            <v>1177175</v>
          </cell>
        </row>
        <row r="722">
          <cell r="A722">
            <v>3035632</v>
          </cell>
          <cell r="G722" t="str">
            <v>CLARK-A1528-1114</v>
          </cell>
        </row>
        <row r="723">
          <cell r="A723">
            <v>375696</v>
          </cell>
          <cell r="G723" t="str">
            <v>SDSU01219</v>
          </cell>
        </row>
        <row r="724">
          <cell r="A724">
            <v>375695</v>
          </cell>
          <cell r="G724" t="str">
            <v>SDSU01218</v>
          </cell>
        </row>
        <row r="725">
          <cell r="A725">
            <v>202453</v>
          </cell>
          <cell r="G725" t="str">
            <v>OBI101750</v>
          </cell>
        </row>
        <row r="726">
          <cell r="A726">
            <v>5569855</v>
          </cell>
          <cell r="G726">
            <v>685183</v>
          </cell>
        </row>
        <row r="727">
          <cell r="A727">
            <v>1135332</v>
          </cell>
        </row>
        <row r="728">
          <cell r="A728">
            <v>1808938</v>
          </cell>
          <cell r="G728" t="str">
            <v>HSC232318</v>
          </cell>
        </row>
        <row r="729">
          <cell r="A729">
            <v>3612020</v>
          </cell>
        </row>
        <row r="730">
          <cell r="A730">
            <v>3611992</v>
          </cell>
        </row>
        <row r="731">
          <cell r="A731">
            <v>5569674</v>
          </cell>
          <cell r="G731">
            <v>684517</v>
          </cell>
        </row>
        <row r="732">
          <cell r="A732">
            <v>2310420</v>
          </cell>
          <cell r="G732">
            <v>74253</v>
          </cell>
        </row>
        <row r="733">
          <cell r="A733">
            <v>2393898</v>
          </cell>
          <cell r="G733">
            <v>74254</v>
          </cell>
        </row>
        <row r="734">
          <cell r="A734">
            <v>2414047</v>
          </cell>
          <cell r="G734">
            <v>74255</v>
          </cell>
        </row>
        <row r="735">
          <cell r="A735">
            <v>4745861</v>
          </cell>
          <cell r="G735">
            <v>77914</v>
          </cell>
        </row>
        <row r="736">
          <cell r="A736">
            <v>3792185</v>
          </cell>
          <cell r="G736" t="str">
            <v>FSC0010470</v>
          </cell>
        </row>
        <row r="737">
          <cell r="A737">
            <v>3792172</v>
          </cell>
          <cell r="G737" t="str">
            <v>FSC0010457</v>
          </cell>
        </row>
        <row r="738">
          <cell r="A738">
            <v>3792182</v>
          </cell>
          <cell r="G738" t="str">
            <v>FSC0010467</v>
          </cell>
        </row>
        <row r="739">
          <cell r="A739">
            <v>55059</v>
          </cell>
          <cell r="G739" t="str">
            <v>SBBG213842</v>
          </cell>
        </row>
        <row r="740">
          <cell r="A740">
            <v>92110</v>
          </cell>
          <cell r="G740" t="str">
            <v>SBBG213841</v>
          </cell>
        </row>
        <row r="741">
          <cell r="A741">
            <v>2272450</v>
          </cell>
          <cell r="G741">
            <v>74275</v>
          </cell>
        </row>
        <row r="742">
          <cell r="A742">
            <v>2390050</v>
          </cell>
          <cell r="G742">
            <v>74274</v>
          </cell>
        </row>
        <row r="743">
          <cell r="A743">
            <v>3801178</v>
          </cell>
          <cell r="G743" t="str">
            <v>CSLA000823</v>
          </cell>
        </row>
        <row r="744">
          <cell r="A744">
            <v>3801196</v>
          </cell>
          <cell r="G744" t="str">
            <v>CSLA000833</v>
          </cell>
        </row>
        <row r="745">
          <cell r="A745">
            <v>3801195</v>
          </cell>
          <cell r="G745" t="str">
            <v>CSLA000832</v>
          </cell>
        </row>
        <row r="746">
          <cell r="A746">
            <v>3792184</v>
          </cell>
          <cell r="G746" t="str">
            <v>FSC0010469</v>
          </cell>
        </row>
        <row r="747">
          <cell r="A747">
            <v>2866648</v>
          </cell>
          <cell r="G747" t="str">
            <v>MACF030445</v>
          </cell>
        </row>
        <row r="748">
          <cell r="A748">
            <v>4745856</v>
          </cell>
          <cell r="G748">
            <v>77910</v>
          </cell>
        </row>
        <row r="749">
          <cell r="A749">
            <v>1095891</v>
          </cell>
        </row>
        <row r="750">
          <cell r="A750">
            <v>675717</v>
          </cell>
        </row>
        <row r="751">
          <cell r="A751">
            <v>931379</v>
          </cell>
        </row>
        <row r="752">
          <cell r="A752">
            <v>1220864</v>
          </cell>
        </row>
        <row r="753">
          <cell r="A753">
            <v>3612015</v>
          </cell>
        </row>
        <row r="754">
          <cell r="A754">
            <v>3612017</v>
          </cell>
        </row>
        <row r="755">
          <cell r="A755">
            <v>1563687</v>
          </cell>
          <cell r="G755" t="str">
            <v>UCR0083312</v>
          </cell>
        </row>
        <row r="756">
          <cell r="A756">
            <v>4564849</v>
          </cell>
          <cell r="G756" t="str">
            <v>SFSU-VP-000840</v>
          </cell>
        </row>
        <row r="757">
          <cell r="A757">
            <v>4564848</v>
          </cell>
          <cell r="G757" t="str">
            <v>SFSU-VP-000841</v>
          </cell>
        </row>
        <row r="758">
          <cell r="A758">
            <v>2313500</v>
          </cell>
          <cell r="G758">
            <v>74288</v>
          </cell>
        </row>
        <row r="759">
          <cell r="A759">
            <v>3791446</v>
          </cell>
          <cell r="G759" t="str">
            <v>RSA0113701</v>
          </cell>
        </row>
        <row r="760">
          <cell r="A760">
            <v>55592</v>
          </cell>
          <cell r="G760" t="str">
            <v>SBBG213847</v>
          </cell>
        </row>
        <row r="761">
          <cell r="A761">
            <v>1023894</v>
          </cell>
        </row>
        <row r="762">
          <cell r="A762">
            <v>2866794</v>
          </cell>
          <cell r="G762" t="str">
            <v>MACF030467</v>
          </cell>
        </row>
        <row r="763">
          <cell r="A763">
            <v>469007</v>
          </cell>
          <cell r="G763" t="str">
            <v>SD00062663</v>
          </cell>
        </row>
        <row r="764">
          <cell r="A764">
            <v>202489</v>
          </cell>
          <cell r="G764" t="str">
            <v>OBI101763</v>
          </cell>
        </row>
        <row r="765">
          <cell r="A765">
            <v>128858</v>
          </cell>
          <cell r="G765" t="str">
            <v>SBBG213829</v>
          </cell>
        </row>
        <row r="766">
          <cell r="A766">
            <v>106233</v>
          </cell>
          <cell r="G766" t="str">
            <v>SBBG213830</v>
          </cell>
        </row>
        <row r="767">
          <cell r="A767">
            <v>304592</v>
          </cell>
          <cell r="G767" t="str">
            <v>UCSB032038</v>
          </cell>
        </row>
        <row r="768">
          <cell r="A768">
            <v>304606</v>
          </cell>
          <cell r="G768" t="str">
            <v>UCSB032055</v>
          </cell>
        </row>
        <row r="769">
          <cell r="A769">
            <v>304599</v>
          </cell>
          <cell r="G769" t="str">
            <v>UCSB032062</v>
          </cell>
        </row>
        <row r="770">
          <cell r="A770">
            <v>304600</v>
          </cell>
          <cell r="G770" t="str">
            <v>UCSB032061</v>
          </cell>
        </row>
        <row r="771">
          <cell r="A771">
            <v>4745870</v>
          </cell>
          <cell r="G771">
            <v>77920</v>
          </cell>
        </row>
        <row r="772">
          <cell r="A772">
            <v>2051496</v>
          </cell>
          <cell r="G772" t="str">
            <v>CHSC004031</v>
          </cell>
        </row>
        <row r="773">
          <cell r="A773">
            <v>148536</v>
          </cell>
          <cell r="G773" t="str">
            <v>SBBG213813</v>
          </cell>
        </row>
        <row r="774">
          <cell r="A774">
            <v>92289</v>
          </cell>
          <cell r="G774" t="str">
            <v>SBBG213815</v>
          </cell>
        </row>
        <row r="775">
          <cell r="A775">
            <v>2347205</v>
          </cell>
          <cell r="G775">
            <v>74217</v>
          </cell>
        </row>
        <row r="776">
          <cell r="A776">
            <v>2332455</v>
          </cell>
          <cell r="G776">
            <v>74218</v>
          </cell>
        </row>
        <row r="777">
          <cell r="A777">
            <v>2328064</v>
          </cell>
          <cell r="G777">
            <v>74256</v>
          </cell>
        </row>
        <row r="778">
          <cell r="A778">
            <v>2290954</v>
          </cell>
          <cell r="G778">
            <v>74257</v>
          </cell>
        </row>
        <row r="779">
          <cell r="A779">
            <v>3792164</v>
          </cell>
          <cell r="G779" t="str">
            <v>FSC0010449</v>
          </cell>
        </row>
        <row r="780">
          <cell r="A780">
            <v>3792162</v>
          </cell>
          <cell r="G780" t="str">
            <v>FSC0010447</v>
          </cell>
        </row>
        <row r="781">
          <cell r="A781">
            <v>738882</v>
          </cell>
        </row>
        <row r="782">
          <cell r="A782">
            <v>1485142</v>
          </cell>
          <cell r="G782">
            <v>884527</v>
          </cell>
        </row>
        <row r="783">
          <cell r="A783">
            <v>3792188</v>
          </cell>
          <cell r="G783" t="str">
            <v>FSC0010473</v>
          </cell>
        </row>
        <row r="784">
          <cell r="A784">
            <v>2432397</v>
          </cell>
          <cell r="G784">
            <v>74187</v>
          </cell>
        </row>
        <row r="785">
          <cell r="A785">
            <v>4459069</v>
          </cell>
          <cell r="G785" t="str">
            <v>PUA009210</v>
          </cell>
        </row>
        <row r="786">
          <cell r="A786">
            <v>202488</v>
          </cell>
          <cell r="G786" t="str">
            <v>OBI101756</v>
          </cell>
        </row>
        <row r="787">
          <cell r="A787">
            <v>202452</v>
          </cell>
          <cell r="G787" t="str">
            <v>OBI101738</v>
          </cell>
        </row>
        <row r="788">
          <cell r="A788">
            <v>202451</v>
          </cell>
          <cell r="G788" t="str">
            <v>OBI101739</v>
          </cell>
        </row>
        <row r="789">
          <cell r="A789">
            <v>1209922</v>
          </cell>
          <cell r="G789" t="str">
            <v>RSA0056287</v>
          </cell>
        </row>
        <row r="790">
          <cell r="A790">
            <v>5866004</v>
          </cell>
        </row>
        <row r="791">
          <cell r="A791">
            <v>5866005</v>
          </cell>
        </row>
        <row r="792">
          <cell r="A792">
            <v>5865998</v>
          </cell>
        </row>
        <row r="793">
          <cell r="A793">
            <v>5866001</v>
          </cell>
        </row>
        <row r="794">
          <cell r="A794">
            <v>5866002</v>
          </cell>
        </row>
        <row r="795">
          <cell r="A795">
            <v>5866003</v>
          </cell>
        </row>
        <row r="796">
          <cell r="A796">
            <v>5872887</v>
          </cell>
          <cell r="G796" t="str">
            <v>CHSC126713</v>
          </cell>
        </row>
        <row r="797">
          <cell r="A797">
            <v>5872878</v>
          </cell>
          <cell r="G797" t="str">
            <v>CHSC126717</v>
          </cell>
        </row>
        <row r="798">
          <cell r="A798">
            <v>2272859</v>
          </cell>
          <cell r="G798">
            <v>74258</v>
          </cell>
        </row>
        <row r="799">
          <cell r="A799">
            <v>5504848</v>
          </cell>
          <cell r="G799">
            <v>684485</v>
          </cell>
        </row>
        <row r="800">
          <cell r="A800">
            <v>5504859</v>
          </cell>
          <cell r="G800">
            <v>684497</v>
          </cell>
        </row>
        <row r="801">
          <cell r="A801">
            <v>2397709</v>
          </cell>
          <cell r="G801">
            <v>74201</v>
          </cell>
        </row>
        <row r="802">
          <cell r="A802">
            <v>1176</v>
          </cell>
          <cell r="G802" t="str">
            <v>LA00632418</v>
          </cell>
        </row>
        <row r="803">
          <cell r="A803">
            <v>4564847</v>
          </cell>
          <cell r="G803" t="str">
            <v>SFSU-VP-000842</v>
          </cell>
        </row>
        <row r="804">
          <cell r="A804">
            <v>2290218</v>
          </cell>
          <cell r="G804">
            <v>74286</v>
          </cell>
        </row>
        <row r="805">
          <cell r="A805">
            <v>5504844</v>
          </cell>
          <cell r="G805">
            <v>684481</v>
          </cell>
        </row>
        <row r="806">
          <cell r="A806">
            <v>4472711</v>
          </cell>
          <cell r="G806" t="str">
            <v>PUA009206</v>
          </cell>
        </row>
        <row r="807">
          <cell r="A807">
            <v>2866834</v>
          </cell>
          <cell r="G807" t="str">
            <v>MACF030458</v>
          </cell>
        </row>
        <row r="808">
          <cell r="A808">
            <v>375689</v>
          </cell>
          <cell r="G808" t="str">
            <v>SDSU01212</v>
          </cell>
        </row>
        <row r="809">
          <cell r="A809">
            <v>375697</v>
          </cell>
          <cell r="G809" t="str">
            <v>SDSU01220</v>
          </cell>
        </row>
        <row r="810">
          <cell r="A810">
            <v>3801199</v>
          </cell>
          <cell r="G810" t="str">
            <v>CSLA000834</v>
          </cell>
        </row>
        <row r="811">
          <cell r="A811">
            <v>202468</v>
          </cell>
          <cell r="G811" t="str">
            <v>OBI101760</v>
          </cell>
        </row>
        <row r="812">
          <cell r="A812">
            <v>202491</v>
          </cell>
          <cell r="G812" t="str">
            <v>OBI101785</v>
          </cell>
        </row>
        <row r="813">
          <cell r="A813">
            <v>1019723</v>
          </cell>
        </row>
        <row r="814">
          <cell r="A814">
            <v>1368000</v>
          </cell>
          <cell r="G814" t="str">
            <v>DAV310421</v>
          </cell>
        </row>
        <row r="815">
          <cell r="A815">
            <v>1367999</v>
          </cell>
          <cell r="G815" t="str">
            <v>DAV310420</v>
          </cell>
        </row>
        <row r="816">
          <cell r="A816">
            <v>1005483</v>
          </cell>
        </row>
        <row r="817">
          <cell r="A817">
            <v>5866000</v>
          </cell>
        </row>
        <row r="818">
          <cell r="A818">
            <v>742860</v>
          </cell>
          <cell r="G818" t="str">
            <v>RSA0154111</v>
          </cell>
        </row>
        <row r="819">
          <cell r="A819">
            <v>5504860</v>
          </cell>
          <cell r="G819">
            <v>684498</v>
          </cell>
        </row>
        <row r="820">
          <cell r="A820">
            <v>5504865</v>
          </cell>
          <cell r="G820">
            <v>684504</v>
          </cell>
        </row>
        <row r="821">
          <cell r="A821">
            <v>1767614</v>
          </cell>
          <cell r="G821" t="str">
            <v>HSC232314</v>
          </cell>
        </row>
        <row r="822">
          <cell r="A822">
            <v>1773597</v>
          </cell>
          <cell r="G822" t="str">
            <v>HSC232310</v>
          </cell>
        </row>
        <row r="823">
          <cell r="A823">
            <v>4485099</v>
          </cell>
          <cell r="G823" t="str">
            <v>PUA009204</v>
          </cell>
        </row>
        <row r="824">
          <cell r="A824">
            <v>1767307</v>
          </cell>
          <cell r="G824" t="str">
            <v>HSC232324</v>
          </cell>
        </row>
        <row r="825">
          <cell r="A825">
            <v>1776466</v>
          </cell>
          <cell r="G825" t="str">
            <v>HSC232299</v>
          </cell>
        </row>
        <row r="826">
          <cell r="A826">
            <v>254946</v>
          </cell>
          <cell r="G826" t="str">
            <v>LOB116469</v>
          </cell>
        </row>
        <row r="827">
          <cell r="A827">
            <v>2262524</v>
          </cell>
          <cell r="G827" t="str">
            <v>LOB116479</v>
          </cell>
        </row>
        <row r="828">
          <cell r="A828">
            <v>4564845</v>
          </cell>
          <cell r="G828" t="str">
            <v>SFSU-VP-000844</v>
          </cell>
        </row>
        <row r="829">
          <cell r="A829">
            <v>5504852</v>
          </cell>
          <cell r="G829">
            <v>684489</v>
          </cell>
        </row>
        <row r="830">
          <cell r="A830">
            <v>5504853</v>
          </cell>
          <cell r="G830">
            <v>684490</v>
          </cell>
        </row>
        <row r="831">
          <cell r="A831">
            <v>2403101</v>
          </cell>
          <cell r="G831">
            <v>74287</v>
          </cell>
        </row>
        <row r="832">
          <cell r="A832">
            <v>2866841</v>
          </cell>
          <cell r="G832" t="str">
            <v>MACF030470</v>
          </cell>
        </row>
        <row r="833">
          <cell r="A833">
            <v>4457537</v>
          </cell>
          <cell r="G833" t="str">
            <v>PUA009200</v>
          </cell>
        </row>
        <row r="834">
          <cell r="A834">
            <v>1142685</v>
          </cell>
        </row>
        <row r="835">
          <cell r="A835">
            <v>2378472</v>
          </cell>
          <cell r="G835">
            <v>74299</v>
          </cell>
        </row>
        <row r="836">
          <cell r="A836">
            <v>2452819</v>
          </cell>
          <cell r="G836">
            <v>74300</v>
          </cell>
        </row>
        <row r="837">
          <cell r="A837">
            <v>4458927</v>
          </cell>
          <cell r="G837" t="str">
            <v>PUA009198</v>
          </cell>
        </row>
        <row r="838">
          <cell r="A838">
            <v>4465868</v>
          </cell>
          <cell r="G838" t="str">
            <v>PUA009212</v>
          </cell>
        </row>
        <row r="839">
          <cell r="A839">
            <v>4471937</v>
          </cell>
        </row>
        <row r="840">
          <cell r="A840">
            <v>4471174</v>
          </cell>
          <cell r="G840" t="str">
            <v>PUA009202</v>
          </cell>
        </row>
        <row r="841">
          <cell r="A841">
            <v>4567194</v>
          </cell>
          <cell r="G841" t="str">
            <v>SFSU-VP-000837</v>
          </cell>
        </row>
        <row r="842">
          <cell r="A842">
            <v>3801184</v>
          </cell>
          <cell r="G842" t="str">
            <v>CSLA000827</v>
          </cell>
        </row>
        <row r="843">
          <cell r="A843">
            <v>632033</v>
          </cell>
        </row>
        <row r="844">
          <cell r="A844">
            <v>2262523</v>
          </cell>
          <cell r="G844" t="str">
            <v>LOB116478</v>
          </cell>
        </row>
        <row r="845">
          <cell r="A845">
            <v>2866594</v>
          </cell>
          <cell r="G845" t="str">
            <v>MACF030452</v>
          </cell>
        </row>
        <row r="846">
          <cell r="A846">
            <v>2866491</v>
          </cell>
          <cell r="G846" t="str">
            <v>MACF030454</v>
          </cell>
        </row>
        <row r="847">
          <cell r="A847">
            <v>202498</v>
          </cell>
          <cell r="G847" t="str">
            <v>OBI101776</v>
          </cell>
        </row>
        <row r="848">
          <cell r="A848">
            <v>1294392</v>
          </cell>
          <cell r="G848" t="str">
            <v>csusb92108</v>
          </cell>
        </row>
        <row r="849">
          <cell r="A849">
            <v>1294393</v>
          </cell>
          <cell r="G849" t="str">
            <v>csusb92106</v>
          </cell>
        </row>
        <row r="850">
          <cell r="A850">
            <v>5840581</v>
          </cell>
          <cell r="G850">
            <v>87142</v>
          </cell>
        </row>
        <row r="851">
          <cell r="A851">
            <v>202476</v>
          </cell>
          <cell r="G851" t="str">
            <v>OBI101772</v>
          </cell>
        </row>
        <row r="852">
          <cell r="A852">
            <v>5569854</v>
          </cell>
          <cell r="G852">
            <v>685182</v>
          </cell>
        </row>
        <row r="853">
          <cell r="A853">
            <v>5865999</v>
          </cell>
        </row>
        <row r="854">
          <cell r="A854">
            <v>4404154</v>
          </cell>
          <cell r="G854">
            <v>1951</v>
          </cell>
        </row>
        <row r="855">
          <cell r="A855">
            <v>3792189</v>
          </cell>
          <cell r="G855" t="str">
            <v>FSC0010474</v>
          </cell>
        </row>
        <row r="856">
          <cell r="A856">
            <v>5504866</v>
          </cell>
          <cell r="G856">
            <v>684505</v>
          </cell>
        </row>
        <row r="857">
          <cell r="A857">
            <v>2039506</v>
          </cell>
          <cell r="G857" t="str">
            <v>CHSC026459</v>
          </cell>
        </row>
        <row r="858">
          <cell r="A858">
            <v>5142612</v>
          </cell>
          <cell r="G858" t="str">
            <v>barcode-00404902</v>
          </cell>
        </row>
        <row r="859">
          <cell r="A859">
            <v>1777507</v>
          </cell>
          <cell r="G859" t="str">
            <v>HSC232320</v>
          </cell>
        </row>
        <row r="860">
          <cell r="A860">
            <v>1804476</v>
          </cell>
          <cell r="G860" t="str">
            <v>HSC232308</v>
          </cell>
        </row>
        <row r="861">
          <cell r="A861">
            <v>1804478</v>
          </cell>
          <cell r="G861" t="str">
            <v>HSC232309</v>
          </cell>
        </row>
        <row r="862">
          <cell r="A862">
            <v>706113</v>
          </cell>
        </row>
        <row r="863">
          <cell r="A863">
            <v>3801183</v>
          </cell>
          <cell r="G863" t="str">
            <v>CSLA000826</v>
          </cell>
        </row>
        <row r="864">
          <cell r="A864">
            <v>2866494</v>
          </cell>
          <cell r="G864" t="str">
            <v>MACF030468</v>
          </cell>
        </row>
        <row r="865">
          <cell r="A865">
            <v>1133685</v>
          </cell>
        </row>
        <row r="866">
          <cell r="A866">
            <v>3611990</v>
          </cell>
        </row>
        <row r="867">
          <cell r="A867">
            <v>4460311</v>
          </cell>
          <cell r="G867" t="str">
            <v>PUA009205</v>
          </cell>
        </row>
        <row r="868">
          <cell r="A868">
            <v>4459156</v>
          </cell>
          <cell r="G868" t="str">
            <v>PUA009207</v>
          </cell>
        </row>
        <row r="869">
          <cell r="A869">
            <v>4464643</v>
          </cell>
        </row>
        <row r="870">
          <cell r="A870">
            <v>3801172</v>
          </cell>
          <cell r="G870" t="str">
            <v>CSLA000821</v>
          </cell>
        </row>
        <row r="871">
          <cell r="A871">
            <v>2262510</v>
          </cell>
          <cell r="G871" t="str">
            <v>LOB116465</v>
          </cell>
        </row>
        <row r="872">
          <cell r="A872">
            <v>2262509</v>
          </cell>
          <cell r="G872" t="str">
            <v>LOB116464</v>
          </cell>
        </row>
        <row r="873">
          <cell r="A873">
            <v>304593</v>
          </cell>
          <cell r="G873" t="str">
            <v>UCSB032037</v>
          </cell>
        </row>
        <row r="874">
          <cell r="A874">
            <v>4488222</v>
          </cell>
          <cell r="G874" t="str">
            <v>PUA009194</v>
          </cell>
        </row>
        <row r="875">
          <cell r="A875">
            <v>469006</v>
          </cell>
          <cell r="G875" t="str">
            <v>SD00062664</v>
          </cell>
        </row>
        <row r="876">
          <cell r="A876">
            <v>5840437</v>
          </cell>
          <cell r="G876">
            <v>87141</v>
          </cell>
        </row>
        <row r="877">
          <cell r="A877">
            <v>202466</v>
          </cell>
          <cell r="G877" t="str">
            <v>OBI101759</v>
          </cell>
        </row>
        <row r="878">
          <cell r="A878">
            <v>202478</v>
          </cell>
          <cell r="G878" t="str">
            <v>OBI101752</v>
          </cell>
        </row>
        <row r="879">
          <cell r="A879">
            <v>5509708</v>
          </cell>
          <cell r="G879" t="str">
            <v>UC2079007</v>
          </cell>
        </row>
        <row r="880">
          <cell r="A880">
            <v>304579</v>
          </cell>
          <cell r="G880" t="str">
            <v>UCSB032034</v>
          </cell>
        </row>
        <row r="881">
          <cell r="A881">
            <v>304577</v>
          </cell>
          <cell r="G881" t="str">
            <v>UCSB032021</v>
          </cell>
        </row>
        <row r="882">
          <cell r="A882">
            <v>5697344</v>
          </cell>
          <cell r="G882">
            <v>684496</v>
          </cell>
        </row>
        <row r="883">
          <cell r="A883">
            <v>3801168</v>
          </cell>
          <cell r="G883" t="str">
            <v>CSLA000819</v>
          </cell>
        </row>
        <row r="884">
          <cell r="A884">
            <v>1294397</v>
          </cell>
          <cell r="G884" t="str">
            <v>CSUSB92104</v>
          </cell>
        </row>
        <row r="885">
          <cell r="A885">
            <v>3801173</v>
          </cell>
          <cell r="G885" t="str">
            <v>CSLA000822</v>
          </cell>
        </row>
        <row r="886">
          <cell r="A886">
            <v>202485</v>
          </cell>
          <cell r="G886" t="str">
            <v>OBI101755</v>
          </cell>
        </row>
        <row r="887">
          <cell r="A887">
            <v>202497</v>
          </cell>
          <cell r="G887" t="str">
            <v>OBI101782</v>
          </cell>
        </row>
        <row r="888">
          <cell r="A888">
            <v>202472</v>
          </cell>
          <cell r="G888" t="str">
            <v>OBI101773</v>
          </cell>
        </row>
        <row r="889">
          <cell r="A889">
            <v>202454</v>
          </cell>
          <cell r="G889" t="str">
            <v>OBI101778</v>
          </cell>
        </row>
        <row r="890">
          <cell r="A890">
            <v>202471</v>
          </cell>
          <cell r="G890" t="str">
            <v>OBI101788</v>
          </cell>
        </row>
        <row r="891">
          <cell r="A891">
            <v>1177657</v>
          </cell>
        </row>
        <row r="892">
          <cell r="A892">
            <v>5569852</v>
          </cell>
          <cell r="G892">
            <v>685180</v>
          </cell>
        </row>
        <row r="893">
          <cell r="A893">
            <v>5569853</v>
          </cell>
          <cell r="G893">
            <v>685181</v>
          </cell>
        </row>
        <row r="894">
          <cell r="A894">
            <v>2342720</v>
          </cell>
          <cell r="G894">
            <v>74214</v>
          </cell>
        </row>
        <row r="895">
          <cell r="A895">
            <v>5504868</v>
          </cell>
          <cell r="G895">
            <v>684507</v>
          </cell>
        </row>
        <row r="896">
          <cell r="A896">
            <v>2439512</v>
          </cell>
          <cell r="G896">
            <v>74266</v>
          </cell>
        </row>
        <row r="897">
          <cell r="A897">
            <v>3425410</v>
          </cell>
          <cell r="G897" t="str">
            <v>JEPS78175</v>
          </cell>
        </row>
        <row r="898">
          <cell r="A898">
            <v>4072307</v>
          </cell>
          <cell r="G898" t="str">
            <v>CDA-003827</v>
          </cell>
        </row>
        <row r="899">
          <cell r="A899">
            <v>3801164</v>
          </cell>
          <cell r="G899" t="str">
            <v>CSLA000817</v>
          </cell>
        </row>
        <row r="900">
          <cell r="A900">
            <v>1367982</v>
          </cell>
          <cell r="G900" t="str">
            <v>DAV300680</v>
          </cell>
        </row>
        <row r="901">
          <cell r="A901">
            <v>708215</v>
          </cell>
        </row>
        <row r="902">
          <cell r="A902">
            <v>884527</v>
          </cell>
        </row>
        <row r="903">
          <cell r="A903">
            <v>1777902</v>
          </cell>
          <cell r="G903" t="str">
            <v>HSC232311</v>
          </cell>
        </row>
        <row r="904">
          <cell r="A904">
            <v>5737995</v>
          </cell>
          <cell r="G904" t="str">
            <v>CHSC125469</v>
          </cell>
        </row>
        <row r="905">
          <cell r="A905">
            <v>2866599</v>
          </cell>
          <cell r="G905" t="str">
            <v>MACF030446</v>
          </cell>
        </row>
        <row r="906">
          <cell r="A906">
            <v>1294389</v>
          </cell>
          <cell r="G906" t="str">
            <v>csusb92107</v>
          </cell>
        </row>
        <row r="907">
          <cell r="A907">
            <v>2457183</v>
          </cell>
          <cell r="G907">
            <v>74340</v>
          </cell>
        </row>
        <row r="908">
          <cell r="A908">
            <v>2406880</v>
          </cell>
          <cell r="G908">
            <v>74339</v>
          </cell>
        </row>
        <row r="909">
          <cell r="A909">
            <v>3792187</v>
          </cell>
          <cell r="G909" t="str">
            <v>FSC0010472</v>
          </cell>
        </row>
        <row r="910">
          <cell r="A910">
            <v>202467</v>
          </cell>
          <cell r="G910" t="str">
            <v>OBI101762</v>
          </cell>
        </row>
        <row r="911">
          <cell r="A911">
            <v>254712</v>
          </cell>
          <cell r="G911" t="str">
            <v>LOB116470</v>
          </cell>
        </row>
        <row r="912">
          <cell r="A912">
            <v>5504846</v>
          </cell>
          <cell r="G912">
            <v>684483</v>
          </cell>
        </row>
        <row r="913">
          <cell r="A913">
            <v>1305691</v>
          </cell>
          <cell r="G913" t="str">
            <v>AHUC101842</v>
          </cell>
        </row>
        <row r="914">
          <cell r="A914">
            <v>1777873</v>
          </cell>
          <cell r="G914" t="str">
            <v>HSC232321</v>
          </cell>
        </row>
        <row r="915">
          <cell r="A915">
            <v>1211305</v>
          </cell>
        </row>
        <row r="916">
          <cell r="A916">
            <v>3792198</v>
          </cell>
          <cell r="G916" t="str">
            <v>FSC0010483</v>
          </cell>
        </row>
        <row r="917">
          <cell r="A917">
            <v>3792170</v>
          </cell>
          <cell r="G917" t="str">
            <v>FSC0010455</v>
          </cell>
        </row>
        <row r="918">
          <cell r="A918">
            <v>3792195</v>
          </cell>
          <cell r="G918" t="str">
            <v>FSC0010480</v>
          </cell>
        </row>
        <row r="919">
          <cell r="A919">
            <v>3792183</v>
          </cell>
          <cell r="G919" t="str">
            <v>FSC0010468</v>
          </cell>
        </row>
        <row r="920">
          <cell r="A920">
            <v>610290</v>
          </cell>
          <cell r="G920" t="str">
            <v>SFV104575</v>
          </cell>
        </row>
        <row r="921">
          <cell r="A921">
            <v>4001616</v>
          </cell>
          <cell r="G921">
            <v>9018</v>
          </cell>
        </row>
        <row r="922">
          <cell r="A922">
            <v>4564840</v>
          </cell>
          <cell r="G922" t="str">
            <v>SFSU-VP-000849</v>
          </cell>
        </row>
        <row r="923">
          <cell r="A923">
            <v>202493</v>
          </cell>
          <cell r="G923" t="str">
            <v>OBI101758</v>
          </cell>
        </row>
        <row r="924">
          <cell r="A924">
            <v>5504858</v>
          </cell>
          <cell r="G924">
            <v>684495</v>
          </cell>
        </row>
        <row r="925">
          <cell r="A925">
            <v>2438182</v>
          </cell>
          <cell r="G925">
            <v>74338</v>
          </cell>
        </row>
        <row r="926">
          <cell r="A926">
            <v>79706</v>
          </cell>
          <cell r="G926" t="str">
            <v>SBBG213828</v>
          </cell>
        </row>
        <row r="927">
          <cell r="A927">
            <v>304591</v>
          </cell>
          <cell r="G927" t="str">
            <v>UCSB032039</v>
          </cell>
        </row>
        <row r="928">
          <cell r="A928">
            <v>2395241</v>
          </cell>
          <cell r="G928">
            <v>74351</v>
          </cell>
        </row>
        <row r="929">
          <cell r="A929">
            <v>1368005</v>
          </cell>
          <cell r="G929" t="str">
            <v>DAV310413</v>
          </cell>
        </row>
        <row r="930">
          <cell r="A930">
            <v>5504870</v>
          </cell>
          <cell r="G930">
            <v>684509</v>
          </cell>
        </row>
        <row r="931">
          <cell r="A931">
            <v>2034914</v>
          </cell>
          <cell r="G931" t="str">
            <v>CHSC021252</v>
          </cell>
        </row>
        <row r="932">
          <cell r="A932">
            <v>4458930</v>
          </cell>
          <cell r="G932" t="str">
            <v>PUA009197</v>
          </cell>
        </row>
        <row r="933">
          <cell r="A933">
            <v>1781883</v>
          </cell>
          <cell r="G933" t="str">
            <v>HSC232327</v>
          </cell>
        </row>
        <row r="934">
          <cell r="A934">
            <v>3039061</v>
          </cell>
          <cell r="G934" t="str">
            <v>CLARK-A1528-968</v>
          </cell>
        </row>
        <row r="935">
          <cell r="A935">
            <v>632985</v>
          </cell>
          <cell r="G935" t="str">
            <v>IRVC101218</v>
          </cell>
        </row>
        <row r="936">
          <cell r="A936">
            <v>632989</v>
          </cell>
          <cell r="G936" t="str">
            <v>IRVC101166</v>
          </cell>
        </row>
        <row r="937">
          <cell r="A937">
            <v>632988</v>
          </cell>
          <cell r="G937" t="str">
            <v>IRVC101219</v>
          </cell>
        </row>
        <row r="938">
          <cell r="A938">
            <v>632993</v>
          </cell>
          <cell r="G938" t="str">
            <v>IRVC101165</v>
          </cell>
        </row>
        <row r="939">
          <cell r="A939">
            <v>632984</v>
          </cell>
          <cell r="G939" t="str">
            <v>IRVC101217</v>
          </cell>
        </row>
        <row r="940">
          <cell r="A940">
            <v>4095404</v>
          </cell>
          <cell r="G940" t="str">
            <v>CDA-0037168</v>
          </cell>
        </row>
        <row r="941">
          <cell r="A941">
            <v>2404723</v>
          </cell>
          <cell r="G941">
            <v>74228</v>
          </cell>
        </row>
        <row r="942">
          <cell r="A942">
            <v>1294394</v>
          </cell>
          <cell r="G942" t="str">
            <v>csusb92105</v>
          </cell>
        </row>
        <row r="943">
          <cell r="A943">
            <v>929206</v>
          </cell>
        </row>
        <row r="944">
          <cell r="A944">
            <v>1367995</v>
          </cell>
          <cell r="G944" t="str">
            <v>AHUC100066</v>
          </cell>
        </row>
        <row r="945">
          <cell r="A945">
            <v>1367981</v>
          </cell>
          <cell r="G945" t="str">
            <v>DAV300677</v>
          </cell>
        </row>
        <row r="946">
          <cell r="A946">
            <v>1784799</v>
          </cell>
          <cell r="G946" t="str">
            <v>HSC232298</v>
          </cell>
        </row>
        <row r="947">
          <cell r="A947">
            <v>1786046</v>
          </cell>
          <cell r="G947" t="str">
            <v>HSC232315</v>
          </cell>
        </row>
        <row r="948">
          <cell r="A948">
            <v>1784768</v>
          </cell>
          <cell r="G948" t="str">
            <v>HSC232307</v>
          </cell>
        </row>
        <row r="949">
          <cell r="A949">
            <v>1786214</v>
          </cell>
          <cell r="G949" t="str">
            <v>HSC232300</v>
          </cell>
        </row>
        <row r="950">
          <cell r="A950">
            <v>1047487</v>
          </cell>
        </row>
        <row r="951">
          <cell r="A951">
            <v>2291266</v>
          </cell>
          <cell r="G951">
            <v>74199</v>
          </cell>
        </row>
        <row r="952">
          <cell r="A952">
            <v>4480533</v>
          </cell>
          <cell r="G952" t="str">
            <v>PUA009196</v>
          </cell>
        </row>
        <row r="953">
          <cell r="A953">
            <v>2056948</v>
          </cell>
          <cell r="G953" t="str">
            <v>CHSC046484</v>
          </cell>
        </row>
        <row r="954">
          <cell r="A954">
            <v>1399932</v>
          </cell>
          <cell r="G954" t="str">
            <v>DAV310434</v>
          </cell>
        </row>
        <row r="955">
          <cell r="A955">
            <v>2767670</v>
          </cell>
          <cell r="G955">
            <v>539311</v>
          </cell>
        </row>
        <row r="956">
          <cell r="A956">
            <v>2322844</v>
          </cell>
          <cell r="G956">
            <v>74182</v>
          </cell>
        </row>
        <row r="957">
          <cell r="A957">
            <v>3792157</v>
          </cell>
          <cell r="G957" t="str">
            <v>FSC0010442</v>
          </cell>
        </row>
        <row r="958">
          <cell r="A958">
            <v>4460478</v>
          </cell>
          <cell r="G958" t="str">
            <v>PUA009209</v>
          </cell>
        </row>
        <row r="959">
          <cell r="A959">
            <v>1800936</v>
          </cell>
          <cell r="G959" t="str">
            <v>HSC232322</v>
          </cell>
        </row>
        <row r="960">
          <cell r="A960">
            <v>4745863</v>
          </cell>
          <cell r="G960">
            <v>77915</v>
          </cell>
        </row>
        <row r="961">
          <cell r="A961">
            <v>778436</v>
          </cell>
          <cell r="G961" t="str">
            <v>RSA0023267</v>
          </cell>
        </row>
        <row r="962">
          <cell r="A962">
            <v>1146969</v>
          </cell>
        </row>
        <row r="963">
          <cell r="A963">
            <v>106537</v>
          </cell>
          <cell r="G963" t="str">
            <v>SBBG213844</v>
          </cell>
        </row>
        <row r="964">
          <cell r="A964">
            <v>3792186</v>
          </cell>
          <cell r="G964" t="str">
            <v>FSC0010471</v>
          </cell>
        </row>
        <row r="965">
          <cell r="A965">
            <v>202503</v>
          </cell>
          <cell r="G965" t="str">
            <v>OBI101736</v>
          </cell>
        </row>
        <row r="966">
          <cell r="A966">
            <v>3042973</v>
          </cell>
          <cell r="G966" t="str">
            <v>CATA 02859</v>
          </cell>
        </row>
        <row r="967">
          <cell r="A967">
            <v>1368051</v>
          </cell>
          <cell r="G967" t="str">
            <v>DAV310395</v>
          </cell>
        </row>
        <row r="968">
          <cell r="A968">
            <v>1092848</v>
          </cell>
        </row>
        <row r="969">
          <cell r="A969">
            <v>469008</v>
          </cell>
          <cell r="G969" t="str">
            <v>SD00062570</v>
          </cell>
        </row>
        <row r="970">
          <cell r="A970">
            <v>469009</v>
          </cell>
          <cell r="G970" t="str">
            <v>SD00062569</v>
          </cell>
        </row>
        <row r="971">
          <cell r="A971">
            <v>1123184</v>
          </cell>
        </row>
        <row r="972">
          <cell r="A972">
            <v>45902</v>
          </cell>
          <cell r="G972" t="str">
            <v>SBBG213836</v>
          </cell>
        </row>
        <row r="973">
          <cell r="A973">
            <v>2355201</v>
          </cell>
          <cell r="G973">
            <v>74180</v>
          </cell>
        </row>
        <row r="974">
          <cell r="A974">
            <v>2343402</v>
          </cell>
          <cell r="G974">
            <v>74268</v>
          </cell>
        </row>
        <row r="975">
          <cell r="A975">
            <v>4095418</v>
          </cell>
        </row>
        <row r="976">
          <cell r="A976">
            <v>4095386</v>
          </cell>
        </row>
        <row r="977">
          <cell r="A977">
            <v>3792156</v>
          </cell>
          <cell r="G977" t="str">
            <v>FSC0010441</v>
          </cell>
        </row>
        <row r="978">
          <cell r="A978">
            <v>2278606</v>
          </cell>
          <cell r="G978">
            <v>74203</v>
          </cell>
        </row>
        <row r="979">
          <cell r="A979">
            <v>1793219</v>
          </cell>
          <cell r="G979" t="str">
            <v>HSC232302</v>
          </cell>
        </row>
        <row r="980">
          <cell r="A980">
            <v>2876793</v>
          </cell>
          <cell r="G980">
            <v>6610</v>
          </cell>
        </row>
        <row r="981">
          <cell r="A981">
            <v>2312543</v>
          </cell>
          <cell r="G981">
            <v>74293</v>
          </cell>
        </row>
        <row r="982">
          <cell r="A982">
            <v>2355178</v>
          </cell>
          <cell r="G982">
            <v>74292</v>
          </cell>
        </row>
        <row r="983">
          <cell r="A983">
            <v>2866661</v>
          </cell>
          <cell r="G983" t="str">
            <v>MACF030450</v>
          </cell>
        </row>
        <row r="984">
          <cell r="A984">
            <v>2866651</v>
          </cell>
          <cell r="G984" t="str">
            <v>MACF030451</v>
          </cell>
        </row>
        <row r="985">
          <cell r="A985">
            <v>2866701</v>
          </cell>
          <cell r="G985" t="str">
            <v>MACF030449</v>
          </cell>
        </row>
        <row r="986">
          <cell r="A986">
            <v>2866713</v>
          </cell>
          <cell r="G986" t="str">
            <v>MACF030448</v>
          </cell>
        </row>
        <row r="987">
          <cell r="A987">
            <v>1368041</v>
          </cell>
          <cell r="G987" t="str">
            <v>DAV310394</v>
          </cell>
        </row>
        <row r="988">
          <cell r="A988">
            <v>610296</v>
          </cell>
          <cell r="G988" t="str">
            <v>SFV104583</v>
          </cell>
        </row>
        <row r="989">
          <cell r="A989">
            <v>610297</v>
          </cell>
          <cell r="G989" t="str">
            <v>SFV104584</v>
          </cell>
        </row>
        <row r="990">
          <cell r="A990">
            <v>355769</v>
          </cell>
          <cell r="G990" t="str">
            <v>UCSB_SCIRH00152</v>
          </cell>
        </row>
        <row r="991">
          <cell r="A991">
            <v>304555</v>
          </cell>
          <cell r="G991" t="str">
            <v>UCSB031997</v>
          </cell>
        </row>
        <row r="992">
          <cell r="A992">
            <v>304550</v>
          </cell>
          <cell r="G992" t="str">
            <v>UCSB032002</v>
          </cell>
        </row>
        <row r="993">
          <cell r="A993">
            <v>2040704</v>
          </cell>
          <cell r="G993" t="str">
            <v>CHSC027838</v>
          </cell>
        </row>
        <row r="994">
          <cell r="A994">
            <v>2960500</v>
          </cell>
          <cell r="G994" t="str">
            <v>IRVC101204</v>
          </cell>
        </row>
        <row r="995">
          <cell r="A995">
            <v>1109834</v>
          </cell>
        </row>
        <row r="996">
          <cell r="A996">
            <v>48054</v>
          </cell>
          <cell r="G996" t="str">
            <v>SBBG155526</v>
          </cell>
        </row>
        <row r="997">
          <cell r="A997">
            <v>2044164</v>
          </cell>
          <cell r="G997" t="str">
            <v>CHSC031957</v>
          </cell>
        </row>
        <row r="998">
          <cell r="A998">
            <v>1806660</v>
          </cell>
          <cell r="G998" t="str">
            <v>HSC232326</v>
          </cell>
        </row>
        <row r="999">
          <cell r="A999">
            <v>2414894</v>
          </cell>
          <cell r="G999">
            <v>74294</v>
          </cell>
        </row>
        <row r="1000">
          <cell r="A1000">
            <v>4460519</v>
          </cell>
          <cell r="G1000" t="str">
            <v>PUA009211</v>
          </cell>
        </row>
        <row r="1001">
          <cell r="A1001">
            <v>202457</v>
          </cell>
          <cell r="G1001" t="str">
            <v>OBI101757</v>
          </cell>
        </row>
        <row r="1002">
          <cell r="A1002">
            <v>6008207</v>
          </cell>
        </row>
        <row r="1003">
          <cell r="A1003">
            <v>202474</v>
          </cell>
          <cell r="G1003" t="str">
            <v>OBI101784</v>
          </cell>
        </row>
        <row r="1004">
          <cell r="A1004">
            <v>1038859</v>
          </cell>
        </row>
        <row r="1005">
          <cell r="A1005">
            <v>62618</v>
          </cell>
          <cell r="G1005" t="str">
            <v>SBBG155406</v>
          </cell>
        </row>
        <row r="1006">
          <cell r="A1006">
            <v>2914773</v>
          </cell>
          <cell r="G1006" t="str">
            <v>SBBG156693</v>
          </cell>
        </row>
        <row r="1007">
          <cell r="A1007">
            <v>469014</v>
          </cell>
          <cell r="G1007" t="str">
            <v>SD00062790</v>
          </cell>
        </row>
        <row r="1008">
          <cell r="A1008">
            <v>304561</v>
          </cell>
          <cell r="G1008" t="str">
            <v>UCSB032016</v>
          </cell>
        </row>
        <row r="1009">
          <cell r="A1009">
            <v>304559</v>
          </cell>
          <cell r="G1009" t="str">
            <v>UCSB032014</v>
          </cell>
        </row>
        <row r="1010">
          <cell r="A1010">
            <v>304557</v>
          </cell>
          <cell r="G1010" t="str">
            <v>UCSB032012</v>
          </cell>
        </row>
        <row r="1011">
          <cell r="A1011">
            <v>304560</v>
          </cell>
          <cell r="G1011" t="str">
            <v>UCSB032015</v>
          </cell>
        </row>
        <row r="1012">
          <cell r="A1012">
            <v>304558</v>
          </cell>
          <cell r="G1012" t="str">
            <v>UCSB032013</v>
          </cell>
        </row>
        <row r="1013">
          <cell r="A1013">
            <v>317992</v>
          </cell>
          <cell r="G1013" t="str">
            <v>UCSB033414</v>
          </cell>
        </row>
        <row r="1014">
          <cell r="A1014">
            <v>355768</v>
          </cell>
          <cell r="G1014" t="str">
            <v>UCSB_SCIRH00151</v>
          </cell>
        </row>
        <row r="1015">
          <cell r="A1015">
            <v>304548</v>
          </cell>
          <cell r="G1015" t="str">
            <v>UCSB032004</v>
          </cell>
        </row>
        <row r="1016">
          <cell r="A1016">
            <v>304547</v>
          </cell>
          <cell r="G1016" t="str">
            <v>UCSB032005</v>
          </cell>
        </row>
        <row r="1017">
          <cell r="A1017">
            <v>304596</v>
          </cell>
          <cell r="G1017" t="str">
            <v>UCSB032065</v>
          </cell>
        </row>
        <row r="1018">
          <cell r="A1018">
            <v>2314219</v>
          </cell>
          <cell r="G1018">
            <v>74265</v>
          </cell>
        </row>
        <row r="1019">
          <cell r="A1019">
            <v>2308947</v>
          </cell>
          <cell r="G1019">
            <v>74179</v>
          </cell>
        </row>
        <row r="1020">
          <cell r="A1020">
            <v>1079969</v>
          </cell>
        </row>
        <row r="1021">
          <cell r="A1021">
            <v>4564846</v>
          </cell>
          <cell r="G1021" t="str">
            <v>SFSU-VP-000843</v>
          </cell>
        </row>
        <row r="1022">
          <cell r="A1022">
            <v>2286151</v>
          </cell>
          <cell r="G1022">
            <v>74314</v>
          </cell>
        </row>
        <row r="1023">
          <cell r="A1023">
            <v>4095400</v>
          </cell>
          <cell r="G1023" t="str">
            <v>CDA-0032866</v>
          </cell>
        </row>
        <row r="1024">
          <cell r="A1024">
            <v>4567197</v>
          </cell>
          <cell r="G1024" t="str">
            <v>SFSU-VP-000834</v>
          </cell>
        </row>
        <row r="1025">
          <cell r="A1025">
            <v>4567203</v>
          </cell>
          <cell r="G1025" t="str">
            <v>SFSU-VP-000828</v>
          </cell>
        </row>
        <row r="1026">
          <cell r="A1026">
            <v>4567196</v>
          </cell>
          <cell r="G1026" t="str">
            <v>SFSU-VP-000835</v>
          </cell>
        </row>
        <row r="1027">
          <cell r="A1027">
            <v>202473</v>
          </cell>
          <cell r="G1027" t="str">
            <v>OBI101787</v>
          </cell>
        </row>
        <row r="1028">
          <cell r="A1028">
            <v>202447</v>
          </cell>
          <cell r="G1028" t="str">
            <v>OBI101737</v>
          </cell>
        </row>
        <row r="1029">
          <cell r="A1029">
            <v>202446</v>
          </cell>
          <cell r="G1029" t="str">
            <v>OBI101742</v>
          </cell>
        </row>
        <row r="1030">
          <cell r="A1030">
            <v>202460</v>
          </cell>
          <cell r="G1030" t="str">
            <v>OBI101746</v>
          </cell>
        </row>
        <row r="1031">
          <cell r="A1031">
            <v>202461</v>
          </cell>
          <cell r="G1031" t="str">
            <v>OBI101747</v>
          </cell>
        </row>
        <row r="1032">
          <cell r="A1032">
            <v>202482</v>
          </cell>
          <cell r="G1032" t="str">
            <v>OBI101751</v>
          </cell>
        </row>
        <row r="1033">
          <cell r="A1033">
            <v>202483</v>
          </cell>
          <cell r="G1033" t="str">
            <v>OBI101779</v>
          </cell>
        </row>
        <row r="1034">
          <cell r="A1034">
            <v>1443128</v>
          </cell>
          <cell r="G1034" t="str">
            <v>UCR0083374</v>
          </cell>
        </row>
        <row r="1035">
          <cell r="A1035">
            <v>304607</v>
          </cell>
          <cell r="G1035" t="str">
            <v>UCSB032054</v>
          </cell>
        </row>
        <row r="1036">
          <cell r="A1036">
            <v>3726377</v>
          </cell>
          <cell r="G1036" t="str">
            <v>UCSB054633</v>
          </cell>
        </row>
        <row r="1037">
          <cell r="A1037">
            <v>3726378</v>
          </cell>
          <cell r="G1037" t="str">
            <v>UCSB054632</v>
          </cell>
        </row>
        <row r="1038">
          <cell r="A1038">
            <v>304608</v>
          </cell>
          <cell r="G1038" t="str">
            <v>UCSB032053</v>
          </cell>
        </row>
        <row r="1039">
          <cell r="A1039">
            <v>304539</v>
          </cell>
          <cell r="G1039" t="str">
            <v>UCSB031992</v>
          </cell>
        </row>
        <row r="1040">
          <cell r="A1040">
            <v>304540</v>
          </cell>
          <cell r="G1040" t="str">
            <v>UCSB031991</v>
          </cell>
        </row>
        <row r="1041">
          <cell r="A1041">
            <v>304541</v>
          </cell>
          <cell r="G1041" t="str">
            <v>UCSB031990</v>
          </cell>
        </row>
        <row r="1042">
          <cell r="A1042">
            <v>304545</v>
          </cell>
          <cell r="G1042" t="str">
            <v>UCSB032007</v>
          </cell>
        </row>
        <row r="1043">
          <cell r="A1043">
            <v>304553</v>
          </cell>
          <cell r="G1043" t="str">
            <v>UCSB031999</v>
          </cell>
        </row>
        <row r="1044">
          <cell r="A1044">
            <v>304549</v>
          </cell>
          <cell r="G1044" t="str">
            <v>UCSB032003</v>
          </cell>
        </row>
        <row r="1045">
          <cell r="A1045">
            <v>1368039</v>
          </cell>
          <cell r="G1045" t="str">
            <v>DAV310411</v>
          </cell>
        </row>
        <row r="1046">
          <cell r="A1046">
            <v>3792190</v>
          </cell>
          <cell r="G1046" t="str">
            <v>FSC0010475</v>
          </cell>
        </row>
        <row r="1047">
          <cell r="A1047">
            <v>330070</v>
          </cell>
          <cell r="G1047" t="str">
            <v>UCSB040102</v>
          </cell>
        </row>
        <row r="1048">
          <cell r="A1048">
            <v>4564844</v>
          </cell>
          <cell r="G1048" t="str">
            <v>SFSU-VP-000845</v>
          </cell>
        </row>
        <row r="1049">
          <cell r="A1049">
            <v>202490</v>
          </cell>
          <cell r="G1049" t="str">
            <v>OBI101771</v>
          </cell>
        </row>
        <row r="1050">
          <cell r="A1050">
            <v>3792192</v>
          </cell>
          <cell r="G1050" t="str">
            <v>FSC0010477</v>
          </cell>
        </row>
        <row r="1051">
          <cell r="A1051">
            <v>3792193</v>
          </cell>
          <cell r="G1051" t="str">
            <v>FSC0010478</v>
          </cell>
        </row>
        <row r="1052">
          <cell r="A1052">
            <v>632655</v>
          </cell>
          <cell r="G1052" t="str">
            <v>IRVC101202</v>
          </cell>
        </row>
        <row r="1053">
          <cell r="A1053">
            <v>2423284</v>
          </cell>
          <cell r="G1053">
            <v>74315</v>
          </cell>
        </row>
        <row r="1054">
          <cell r="A1054">
            <v>1443125</v>
          </cell>
          <cell r="G1054" t="str">
            <v>UCR0083349</v>
          </cell>
        </row>
        <row r="1055">
          <cell r="A1055">
            <v>1443129</v>
          </cell>
          <cell r="G1055" t="str">
            <v>UCR0083346</v>
          </cell>
        </row>
        <row r="1056">
          <cell r="A1056">
            <v>202462</v>
          </cell>
          <cell r="G1056" t="str">
            <v>OBI101780</v>
          </cell>
        </row>
        <row r="1057">
          <cell r="A1057">
            <v>202481</v>
          </cell>
          <cell r="G1057" t="str">
            <v>OBI101743</v>
          </cell>
        </row>
        <row r="1058">
          <cell r="A1058">
            <v>202477</v>
          </cell>
          <cell r="G1058" t="str">
            <v>OBI101781</v>
          </cell>
        </row>
        <row r="1059">
          <cell r="A1059">
            <v>979678</v>
          </cell>
          <cell r="G1059" t="str">
            <v>RSA0034861</v>
          </cell>
        </row>
        <row r="1060">
          <cell r="A1060">
            <v>4564842</v>
          </cell>
          <cell r="G1060" t="str">
            <v>SFSU-VP-000847</v>
          </cell>
        </row>
        <row r="1061">
          <cell r="A1061">
            <v>4564843</v>
          </cell>
          <cell r="G1061" t="str">
            <v>SFSU-VP-000846</v>
          </cell>
        </row>
        <row r="1062">
          <cell r="A1062">
            <v>729147</v>
          </cell>
        </row>
        <row r="1063">
          <cell r="A1063">
            <v>962108</v>
          </cell>
        </row>
        <row r="1064">
          <cell r="A1064">
            <v>1147528</v>
          </cell>
        </row>
        <row r="1065">
          <cell r="A1065">
            <v>1079274</v>
          </cell>
        </row>
        <row r="1066">
          <cell r="A1066">
            <v>2914781</v>
          </cell>
          <cell r="G1066" t="str">
            <v>SBBG156685</v>
          </cell>
        </row>
        <row r="1067">
          <cell r="A1067">
            <v>152545</v>
          </cell>
          <cell r="G1067" t="str">
            <v>SBBG155535</v>
          </cell>
        </row>
        <row r="1068">
          <cell r="A1068">
            <v>1443131</v>
          </cell>
          <cell r="G1068" t="str">
            <v>UCR0083433</v>
          </cell>
        </row>
        <row r="1069">
          <cell r="A1069">
            <v>1443127</v>
          </cell>
          <cell r="G1069" t="str">
            <v>UCR0083404</v>
          </cell>
        </row>
        <row r="1070">
          <cell r="A1070">
            <v>304589</v>
          </cell>
          <cell r="G1070" t="str">
            <v>UCSB032042</v>
          </cell>
        </row>
        <row r="1071">
          <cell r="A1071">
            <v>304542</v>
          </cell>
          <cell r="G1071" t="str">
            <v>UCSB032010</v>
          </cell>
        </row>
        <row r="1072">
          <cell r="A1072">
            <v>355726</v>
          </cell>
          <cell r="G1072" t="str">
            <v>UCSB_SCIRH001356</v>
          </cell>
        </row>
        <row r="1073">
          <cell r="A1073">
            <v>355727</v>
          </cell>
          <cell r="G1073" t="str">
            <v>UCSB_SCIRH001357</v>
          </cell>
        </row>
        <row r="1074">
          <cell r="A1074">
            <v>304544</v>
          </cell>
          <cell r="G1074" t="str">
            <v>UCSB032008</v>
          </cell>
        </row>
        <row r="1075">
          <cell r="A1075">
            <v>291609</v>
          </cell>
          <cell r="G1075" t="str">
            <v>UCSB032066</v>
          </cell>
        </row>
        <row r="1076">
          <cell r="A1076">
            <v>3969450</v>
          </cell>
          <cell r="G1076">
            <v>208</v>
          </cell>
        </row>
        <row r="1077">
          <cell r="A1077">
            <v>2315373</v>
          </cell>
          <cell r="G1077">
            <v>74238</v>
          </cell>
        </row>
        <row r="1078">
          <cell r="A1078">
            <v>5504869</v>
          </cell>
          <cell r="G1078">
            <v>684508</v>
          </cell>
        </row>
        <row r="1079">
          <cell r="A1079">
            <v>2046467</v>
          </cell>
          <cell r="G1079" t="str">
            <v>CHSC034565</v>
          </cell>
        </row>
        <row r="1080">
          <cell r="A1080">
            <v>2049538</v>
          </cell>
          <cell r="G1080" t="str">
            <v>CHSC038035</v>
          </cell>
        </row>
        <row r="1081">
          <cell r="A1081">
            <v>2049536</v>
          </cell>
          <cell r="G1081" t="str">
            <v>CHSC038033</v>
          </cell>
        </row>
        <row r="1082">
          <cell r="A1082">
            <v>2049533</v>
          </cell>
          <cell r="G1082" t="str">
            <v>CHSC038030</v>
          </cell>
        </row>
        <row r="1083">
          <cell r="A1083">
            <v>2049534</v>
          </cell>
          <cell r="G1083" t="str">
            <v>CHSC038031</v>
          </cell>
        </row>
        <row r="1084">
          <cell r="A1084">
            <v>2049904</v>
          </cell>
          <cell r="G1084" t="str">
            <v>CHSC038424</v>
          </cell>
        </row>
        <row r="1085">
          <cell r="A1085">
            <v>5569681</v>
          </cell>
          <cell r="G1085">
            <v>684524</v>
          </cell>
        </row>
        <row r="1086">
          <cell r="A1086">
            <v>5569680</v>
          </cell>
          <cell r="G1086">
            <v>684523</v>
          </cell>
        </row>
        <row r="1087">
          <cell r="A1087">
            <v>1459126</v>
          </cell>
          <cell r="G1087" t="str">
            <v>UCR0083392</v>
          </cell>
        </row>
        <row r="1088">
          <cell r="A1088">
            <v>3949204</v>
          </cell>
          <cell r="G1088">
            <v>240</v>
          </cell>
        </row>
        <row r="1089">
          <cell r="A1089">
            <v>3949203</v>
          </cell>
          <cell r="G1089">
            <v>503</v>
          </cell>
        </row>
        <row r="1090">
          <cell r="A1090">
            <v>2050542</v>
          </cell>
          <cell r="G1090" t="str">
            <v>CHSC039208</v>
          </cell>
        </row>
        <row r="1091">
          <cell r="A1091">
            <v>2287409</v>
          </cell>
          <cell r="G1091">
            <v>74310</v>
          </cell>
        </row>
        <row r="1092">
          <cell r="A1092">
            <v>943444</v>
          </cell>
          <cell r="G1092" t="str">
            <v>RSA0085044</v>
          </cell>
        </row>
        <row r="1093">
          <cell r="A1093">
            <v>5723178</v>
          </cell>
          <cell r="G1093" t="str">
            <v>PINN-00287</v>
          </cell>
        </row>
        <row r="1094">
          <cell r="A1094">
            <v>6008220</v>
          </cell>
          <cell r="G1094" t="str">
            <v>OBI204067</v>
          </cell>
        </row>
        <row r="1095">
          <cell r="A1095">
            <v>6008224</v>
          </cell>
          <cell r="G1095" t="str">
            <v>OBI204065</v>
          </cell>
        </row>
        <row r="1096">
          <cell r="A1096">
            <v>202494</v>
          </cell>
          <cell r="G1096" t="str">
            <v>OBI101775</v>
          </cell>
        </row>
        <row r="1097">
          <cell r="A1097">
            <v>202495</v>
          </cell>
          <cell r="G1097" t="str">
            <v>OBI101777</v>
          </cell>
        </row>
        <row r="1098">
          <cell r="A1098">
            <v>902357</v>
          </cell>
        </row>
        <row r="1099">
          <cell r="A1099">
            <v>91393</v>
          </cell>
          <cell r="G1099" t="str">
            <v>SBBG213822</v>
          </cell>
        </row>
        <row r="1100">
          <cell r="A1100">
            <v>304563</v>
          </cell>
          <cell r="G1100" t="str">
            <v>UCSB032018</v>
          </cell>
        </row>
        <row r="1101">
          <cell r="A1101">
            <v>355751</v>
          </cell>
          <cell r="G1101" t="str">
            <v>UCSB_SCIRH001452</v>
          </cell>
        </row>
        <row r="1102">
          <cell r="A1102">
            <v>2057748</v>
          </cell>
          <cell r="G1102" t="str">
            <v>CHSC047386</v>
          </cell>
        </row>
        <row r="1103">
          <cell r="A1103">
            <v>2322749</v>
          </cell>
          <cell r="G1103">
            <v>74237</v>
          </cell>
        </row>
        <row r="1104">
          <cell r="A1104">
            <v>2046466</v>
          </cell>
          <cell r="G1104" t="str">
            <v>CHSC034564</v>
          </cell>
        </row>
        <row r="1105">
          <cell r="A1105">
            <v>2051858</v>
          </cell>
          <cell r="G1105" t="str">
            <v>CHSC040702</v>
          </cell>
        </row>
        <row r="1106">
          <cell r="A1106">
            <v>2049551</v>
          </cell>
          <cell r="G1106" t="str">
            <v>CHSC038048</v>
          </cell>
        </row>
        <row r="1107">
          <cell r="A1107">
            <v>2049555</v>
          </cell>
          <cell r="G1107" t="str">
            <v>CHSC038052</v>
          </cell>
        </row>
        <row r="1108">
          <cell r="A1108">
            <v>4011670</v>
          </cell>
          <cell r="G1108">
            <v>18984</v>
          </cell>
        </row>
        <row r="1109">
          <cell r="A1109">
            <v>632879</v>
          </cell>
          <cell r="G1109" t="str">
            <v>IRVC101203</v>
          </cell>
        </row>
        <row r="1110">
          <cell r="A1110">
            <v>763659</v>
          </cell>
          <cell r="G1110" t="str">
            <v>RSA0049509</v>
          </cell>
        </row>
        <row r="1111">
          <cell r="A1111">
            <v>1202028</v>
          </cell>
          <cell r="G1111" t="str">
            <v>RSA0049510</v>
          </cell>
        </row>
        <row r="1112">
          <cell r="A1112">
            <v>2211615</v>
          </cell>
          <cell r="G1112" t="str">
            <v>OBI140534</v>
          </cell>
        </row>
        <row r="1113">
          <cell r="A1113">
            <v>1142753</v>
          </cell>
          <cell r="G1113" t="str">
            <v>RSA0046885</v>
          </cell>
        </row>
        <row r="1114">
          <cell r="A1114">
            <v>1089689</v>
          </cell>
          <cell r="G1114" t="str">
            <v>RSA0045286</v>
          </cell>
        </row>
        <row r="1115">
          <cell r="A1115">
            <v>1087030</v>
          </cell>
          <cell r="G1115" t="str">
            <v>RSA0045291</v>
          </cell>
        </row>
        <row r="1116">
          <cell r="A1116">
            <v>202492</v>
          </cell>
          <cell r="G1116" t="str">
            <v>OBI101754</v>
          </cell>
        </row>
        <row r="1117">
          <cell r="A1117">
            <v>202479</v>
          </cell>
          <cell r="G1117" t="str">
            <v>OBI101748</v>
          </cell>
        </row>
        <row r="1118">
          <cell r="A1118">
            <v>1166795</v>
          </cell>
        </row>
        <row r="1119">
          <cell r="A1119">
            <v>304538</v>
          </cell>
          <cell r="G1119" t="str">
            <v>UCSB031993</v>
          </cell>
        </row>
        <row r="1120">
          <cell r="A1120">
            <v>292926</v>
          </cell>
          <cell r="G1120" t="str">
            <v>UCSB031989</v>
          </cell>
        </row>
        <row r="1121">
          <cell r="A1121">
            <v>304546</v>
          </cell>
          <cell r="G1121" t="str">
            <v>UCSB032006</v>
          </cell>
        </row>
        <row r="1122">
          <cell r="A1122">
            <v>4064454</v>
          </cell>
          <cell r="G1122" t="str">
            <v>UCSC100000696</v>
          </cell>
        </row>
        <row r="1123">
          <cell r="A1123">
            <v>52482</v>
          </cell>
          <cell r="G1123" t="str">
            <v>SBBG213832</v>
          </cell>
        </row>
        <row r="1124">
          <cell r="A1124">
            <v>5043016</v>
          </cell>
          <cell r="G1124">
            <v>656433</v>
          </cell>
        </row>
        <row r="1125">
          <cell r="A1125">
            <v>3792194</v>
          </cell>
          <cell r="G1125" t="str">
            <v>FSC0010479</v>
          </cell>
        </row>
        <row r="1126">
          <cell r="A1126">
            <v>637694</v>
          </cell>
          <cell r="G1126" t="str">
            <v>RSA0036812</v>
          </cell>
        </row>
        <row r="1127">
          <cell r="A1127">
            <v>645300</v>
          </cell>
        </row>
        <row r="1128">
          <cell r="A1128">
            <v>469013</v>
          </cell>
          <cell r="G1128" t="str">
            <v>SD00062665</v>
          </cell>
        </row>
        <row r="1129">
          <cell r="A1129">
            <v>202459</v>
          </cell>
          <cell r="G1129" t="str">
            <v>OBI101774</v>
          </cell>
        </row>
        <row r="1130">
          <cell r="A1130">
            <v>4567199</v>
          </cell>
          <cell r="G1130" t="str">
            <v>SFSU-VP-000832</v>
          </cell>
        </row>
        <row r="1131">
          <cell r="A1131">
            <v>1160373</v>
          </cell>
        </row>
        <row r="1132">
          <cell r="A1132">
            <v>2057404</v>
          </cell>
          <cell r="G1132" t="str">
            <v>CHSC047040</v>
          </cell>
        </row>
        <row r="1133">
          <cell r="A1133">
            <v>4095385</v>
          </cell>
        </row>
        <row r="1134">
          <cell r="A1134">
            <v>1826642</v>
          </cell>
          <cell r="G1134" t="str">
            <v>HSC232312</v>
          </cell>
        </row>
        <row r="1135">
          <cell r="A1135">
            <v>1143465</v>
          </cell>
        </row>
        <row r="1136">
          <cell r="A1136">
            <v>633444</v>
          </cell>
          <cell r="G1136" t="str">
            <v>IRVC101160</v>
          </cell>
        </row>
        <row r="1137">
          <cell r="A1137">
            <v>633454</v>
          </cell>
          <cell r="G1137" t="str">
            <v>IRVC101201</v>
          </cell>
        </row>
        <row r="1138">
          <cell r="A1138">
            <v>2866542</v>
          </cell>
          <cell r="G1138" t="str">
            <v>MACF030457</v>
          </cell>
        </row>
        <row r="1139">
          <cell r="A1139">
            <v>2369553</v>
          </cell>
          <cell r="G1139">
            <v>74236</v>
          </cell>
        </row>
        <row r="1140">
          <cell r="A1140">
            <v>1299035</v>
          </cell>
          <cell r="G1140" t="str">
            <v>DAV310422</v>
          </cell>
        </row>
        <row r="1141">
          <cell r="A1141">
            <v>1826582</v>
          </cell>
          <cell r="G1141" t="str">
            <v>HSC232313</v>
          </cell>
        </row>
        <row r="1142">
          <cell r="A1142">
            <v>1459130</v>
          </cell>
          <cell r="G1142" t="str">
            <v>UCR0083335</v>
          </cell>
        </row>
        <row r="1143">
          <cell r="A1143">
            <v>4474805</v>
          </cell>
        </row>
        <row r="1144">
          <cell r="A1144">
            <v>469015</v>
          </cell>
          <cell r="G1144" t="str">
            <v>SD00060084</v>
          </cell>
        </row>
        <row r="1145">
          <cell r="A1145">
            <v>469146</v>
          </cell>
          <cell r="G1145" t="str">
            <v>SD00062579</v>
          </cell>
        </row>
        <row r="1146">
          <cell r="A1146">
            <v>1459129</v>
          </cell>
          <cell r="G1146" t="str">
            <v>UCR0083371</v>
          </cell>
        </row>
        <row r="1147">
          <cell r="A1147">
            <v>202484</v>
          </cell>
          <cell r="G1147" t="str">
            <v>OBI101783</v>
          </cell>
        </row>
        <row r="1148">
          <cell r="A1148">
            <v>469018</v>
          </cell>
          <cell r="G1148" t="str">
            <v>SD00062710</v>
          </cell>
        </row>
        <row r="1149">
          <cell r="A1149">
            <v>2318818</v>
          </cell>
          <cell r="G1149">
            <v>74200</v>
          </cell>
        </row>
        <row r="1150">
          <cell r="A1150">
            <v>2079339</v>
          </cell>
          <cell r="G1150" t="str">
            <v>CHSC075075</v>
          </cell>
        </row>
        <row r="1151">
          <cell r="A1151">
            <v>4020835</v>
          </cell>
          <cell r="G1151">
            <v>28067</v>
          </cell>
        </row>
        <row r="1152">
          <cell r="A1152">
            <v>2107639</v>
          </cell>
          <cell r="G1152" t="str">
            <v>CHSC091408</v>
          </cell>
        </row>
        <row r="1153">
          <cell r="A1153">
            <v>4745854</v>
          </cell>
          <cell r="G1153">
            <v>77908</v>
          </cell>
        </row>
        <row r="1154">
          <cell r="A1154">
            <v>1062233</v>
          </cell>
        </row>
        <row r="1155">
          <cell r="A1155">
            <v>981037</v>
          </cell>
        </row>
        <row r="1156">
          <cell r="A1156">
            <v>33390</v>
          </cell>
          <cell r="G1156" t="str">
            <v>SBBG213840</v>
          </cell>
        </row>
        <row r="1157">
          <cell r="A1157">
            <v>1459128</v>
          </cell>
          <cell r="G1157" t="str">
            <v>UCR0083336</v>
          </cell>
        </row>
        <row r="1158">
          <cell r="A1158">
            <v>2405194</v>
          </cell>
          <cell r="G1158">
            <v>74188</v>
          </cell>
        </row>
        <row r="1159">
          <cell r="A1159">
            <v>634125</v>
          </cell>
          <cell r="G1159" t="str">
            <v>IRVC101159</v>
          </cell>
        </row>
        <row r="1160">
          <cell r="A1160">
            <v>202496</v>
          </cell>
          <cell r="G1160" t="str">
            <v>OBI101790</v>
          </cell>
        </row>
        <row r="1161">
          <cell r="A1161">
            <v>202475</v>
          </cell>
          <cell r="G1161" t="str">
            <v>OBI101744</v>
          </cell>
        </row>
        <row r="1162">
          <cell r="A1162">
            <v>58111</v>
          </cell>
          <cell r="G1162" t="str">
            <v>SBBG155540</v>
          </cell>
        </row>
        <row r="1163">
          <cell r="A1163">
            <v>304562</v>
          </cell>
          <cell r="G1163" t="str">
            <v>UCSB032017</v>
          </cell>
        </row>
        <row r="1164">
          <cell r="A1164">
            <v>304590</v>
          </cell>
          <cell r="G1164" t="str">
            <v>UCSB032041</v>
          </cell>
        </row>
        <row r="1165">
          <cell r="A1165">
            <v>4947933</v>
          </cell>
          <cell r="G1165" t="str">
            <v>US 3492194</v>
          </cell>
        </row>
        <row r="1166">
          <cell r="A1166">
            <v>1367993</v>
          </cell>
          <cell r="G1166" t="str">
            <v>DAV310429</v>
          </cell>
        </row>
        <row r="1167">
          <cell r="A1167">
            <v>1829694</v>
          </cell>
          <cell r="G1167" t="str">
            <v>HSC232316</v>
          </cell>
        </row>
        <row r="1168">
          <cell r="A1168">
            <v>388920</v>
          </cell>
          <cell r="G1168" t="str">
            <v>SDSU14604</v>
          </cell>
        </row>
        <row r="1169">
          <cell r="A1169">
            <v>388921</v>
          </cell>
          <cell r="G1169" t="str">
            <v>SDSU14605</v>
          </cell>
        </row>
        <row r="1170">
          <cell r="A1170">
            <v>76563</v>
          </cell>
          <cell r="G1170" t="str">
            <v>SBBG155412</v>
          </cell>
        </row>
        <row r="1171">
          <cell r="A1171">
            <v>469072</v>
          </cell>
          <cell r="G1171" t="str">
            <v>SD00062796</v>
          </cell>
        </row>
        <row r="1172">
          <cell r="A1172">
            <v>469036</v>
          </cell>
          <cell r="G1172" t="str">
            <v>SD00062659</v>
          </cell>
        </row>
        <row r="1173">
          <cell r="A1173">
            <v>1186667</v>
          </cell>
        </row>
        <row r="1174">
          <cell r="A1174">
            <v>4095388</v>
          </cell>
          <cell r="G1174" t="str">
            <v>CDA-0012718</v>
          </cell>
        </row>
        <row r="1175">
          <cell r="A1175">
            <v>469037</v>
          </cell>
          <cell r="G1175" t="str">
            <v>SD00062658</v>
          </cell>
        </row>
        <row r="1176">
          <cell r="A1176">
            <v>1368011</v>
          </cell>
          <cell r="G1176" t="str">
            <v>DAV310427</v>
          </cell>
        </row>
        <row r="1177">
          <cell r="A1177">
            <v>652945</v>
          </cell>
        </row>
        <row r="1178">
          <cell r="A1178">
            <v>696481</v>
          </cell>
        </row>
        <row r="1179">
          <cell r="A1179">
            <v>1065943</v>
          </cell>
        </row>
        <row r="1180">
          <cell r="A1180">
            <v>54960</v>
          </cell>
          <cell r="G1180" t="str">
            <v>SBBG155409</v>
          </cell>
        </row>
        <row r="1181">
          <cell r="A1181">
            <v>79994</v>
          </cell>
          <cell r="G1181" t="str">
            <v>SBBG155407</v>
          </cell>
        </row>
        <row r="1182">
          <cell r="A1182">
            <v>44308</v>
          </cell>
          <cell r="G1182" t="str">
            <v>SBBG155534</v>
          </cell>
        </row>
        <row r="1183">
          <cell r="A1183">
            <v>93254</v>
          </cell>
          <cell r="G1183" t="str">
            <v>SBBG155408</v>
          </cell>
        </row>
        <row r="1184">
          <cell r="A1184">
            <v>469017</v>
          </cell>
          <cell r="G1184" t="str">
            <v>SD00062795</v>
          </cell>
        </row>
        <row r="1185">
          <cell r="A1185">
            <v>3258841</v>
          </cell>
          <cell r="G1185" t="str">
            <v>UC1586725</v>
          </cell>
        </row>
        <row r="1186">
          <cell r="A1186">
            <v>2355610</v>
          </cell>
          <cell r="G1186">
            <v>74204</v>
          </cell>
        </row>
        <row r="1187">
          <cell r="A1187">
            <v>711677</v>
          </cell>
        </row>
        <row r="1188">
          <cell r="A1188">
            <v>2062093</v>
          </cell>
          <cell r="G1188" t="str">
            <v>CHSC054389</v>
          </cell>
        </row>
        <row r="1189">
          <cell r="A1189">
            <v>702128</v>
          </cell>
        </row>
        <row r="1190">
          <cell r="A1190">
            <v>1213517</v>
          </cell>
        </row>
        <row r="1191">
          <cell r="A1191">
            <v>721961</v>
          </cell>
          <cell r="G1191" t="str">
            <v>RSA0154110</v>
          </cell>
        </row>
        <row r="1192">
          <cell r="A1192">
            <v>1042728</v>
          </cell>
        </row>
        <row r="1193">
          <cell r="A1193">
            <v>924148</v>
          </cell>
        </row>
        <row r="1194">
          <cell r="A1194">
            <v>970742</v>
          </cell>
        </row>
        <row r="1195">
          <cell r="A1195">
            <v>987958</v>
          </cell>
        </row>
        <row r="1196">
          <cell r="A1196">
            <v>3503027</v>
          </cell>
          <cell r="G1196" t="str">
            <v>UC1584034</v>
          </cell>
        </row>
        <row r="1197">
          <cell r="A1197">
            <v>3270997</v>
          </cell>
          <cell r="G1197" t="str">
            <v>UC1595411</v>
          </cell>
        </row>
        <row r="1198">
          <cell r="A1198">
            <v>4567202</v>
          </cell>
          <cell r="G1198" t="str">
            <v>SFSU-VP-000829</v>
          </cell>
        </row>
        <row r="1199">
          <cell r="A1199">
            <v>4564841</v>
          </cell>
          <cell r="G1199" t="str">
            <v>SFSU-VP-000848</v>
          </cell>
        </row>
        <row r="1200">
          <cell r="A1200">
            <v>716024</v>
          </cell>
        </row>
        <row r="1201">
          <cell r="A1201">
            <v>936672</v>
          </cell>
        </row>
        <row r="1202">
          <cell r="A1202">
            <v>969955</v>
          </cell>
        </row>
        <row r="1203">
          <cell r="A1203">
            <v>1172887</v>
          </cell>
        </row>
        <row r="1204">
          <cell r="A1204">
            <v>945368</v>
          </cell>
        </row>
        <row r="1205">
          <cell r="A1205">
            <v>123572</v>
          </cell>
          <cell r="G1205" t="str">
            <v>SBBG155405</v>
          </cell>
        </row>
        <row r="1206">
          <cell r="A1206">
            <v>4567201</v>
          </cell>
          <cell r="G1206" t="str">
            <v>SFSU-VP-000830</v>
          </cell>
        </row>
        <row r="1207">
          <cell r="A1207">
            <v>4095375</v>
          </cell>
          <cell r="G1207" t="str">
            <v>CDA-0012316</v>
          </cell>
        </row>
        <row r="1208">
          <cell r="A1208">
            <v>706792</v>
          </cell>
        </row>
        <row r="1209">
          <cell r="A1209">
            <v>610294</v>
          </cell>
          <cell r="G1209" t="str">
            <v>SFV104579</v>
          </cell>
        </row>
        <row r="1210">
          <cell r="A1210">
            <v>2387538</v>
          </cell>
          <cell r="G1210">
            <v>58407</v>
          </cell>
        </row>
        <row r="1211">
          <cell r="A1211">
            <v>736948</v>
          </cell>
        </row>
        <row r="1212">
          <cell r="A1212">
            <v>469029</v>
          </cell>
          <cell r="G1212" t="str">
            <v>SD00062797</v>
          </cell>
        </row>
        <row r="1213">
          <cell r="A1213">
            <v>1000363</v>
          </cell>
          <cell r="G1213" t="str">
            <v>RSA0063036</v>
          </cell>
        </row>
        <row r="1214">
          <cell r="A1214">
            <v>1367989</v>
          </cell>
          <cell r="G1214" t="str">
            <v>DAV310445</v>
          </cell>
        </row>
        <row r="1215">
          <cell r="A1215">
            <v>1320905</v>
          </cell>
          <cell r="G1215" t="str">
            <v>DAV315353</v>
          </cell>
        </row>
        <row r="1216">
          <cell r="A1216">
            <v>1320906</v>
          </cell>
          <cell r="G1216" t="str">
            <v>DAV310438</v>
          </cell>
        </row>
        <row r="1217">
          <cell r="A1217">
            <v>1617536</v>
          </cell>
          <cell r="G1217" t="str">
            <v>UCR0083309</v>
          </cell>
        </row>
        <row r="1218">
          <cell r="A1218">
            <v>2767898</v>
          </cell>
          <cell r="G1218">
            <v>539372</v>
          </cell>
        </row>
        <row r="1219">
          <cell r="A1219">
            <v>3904095</v>
          </cell>
          <cell r="G1219" t="str">
            <v>LA00606076</v>
          </cell>
        </row>
        <row r="1220">
          <cell r="A1220">
            <v>1367983</v>
          </cell>
          <cell r="G1220" t="str">
            <v>DAV310435</v>
          </cell>
        </row>
        <row r="1221">
          <cell r="A1221">
            <v>1828885</v>
          </cell>
          <cell r="G1221" t="str">
            <v>HSC232301</v>
          </cell>
        </row>
        <row r="1222">
          <cell r="A1222">
            <v>4743360</v>
          </cell>
          <cell r="G1222">
            <v>75601</v>
          </cell>
        </row>
        <row r="1223">
          <cell r="A1223">
            <v>975870</v>
          </cell>
        </row>
        <row r="1224">
          <cell r="A1224">
            <v>5778835</v>
          </cell>
          <cell r="G1224" t="str">
            <v>RSA0503939</v>
          </cell>
        </row>
        <row r="1225">
          <cell r="A1225">
            <v>5764054</v>
          </cell>
          <cell r="G1225" t="str">
            <v>UCR0132933</v>
          </cell>
        </row>
        <row r="1226">
          <cell r="A1226">
            <v>1459132</v>
          </cell>
          <cell r="G1226" t="str">
            <v>UCR0083351</v>
          </cell>
        </row>
        <row r="1227">
          <cell r="A1227">
            <v>469019</v>
          </cell>
          <cell r="G1227" t="str">
            <v>SD00060083</v>
          </cell>
        </row>
        <row r="1228">
          <cell r="A1228">
            <v>1493728</v>
          </cell>
          <cell r="G1228" t="str">
            <v>UCR0111504</v>
          </cell>
        </row>
        <row r="1229">
          <cell r="A1229">
            <v>6040567</v>
          </cell>
          <cell r="G1229">
            <v>720761</v>
          </cell>
        </row>
        <row r="1230">
          <cell r="A1230">
            <v>6040950</v>
          </cell>
          <cell r="G1230">
            <v>722058</v>
          </cell>
        </row>
        <row r="1231">
          <cell r="A1231">
            <v>6040951</v>
          </cell>
          <cell r="G1231">
            <v>722059</v>
          </cell>
        </row>
        <row r="1232">
          <cell r="A1232">
            <v>2305663</v>
          </cell>
          <cell r="G1232">
            <v>74324</v>
          </cell>
        </row>
        <row r="1233">
          <cell r="A1233">
            <v>202464</v>
          </cell>
          <cell r="G1233" t="str">
            <v>OBI181423</v>
          </cell>
        </row>
        <row r="1234">
          <cell r="A1234">
            <v>132624</v>
          </cell>
          <cell r="G1234" t="str">
            <v>SBBG213843</v>
          </cell>
        </row>
        <row r="1235">
          <cell r="A1235">
            <v>304564</v>
          </cell>
          <cell r="G1235" t="str">
            <v>UCSB032019</v>
          </cell>
        </row>
        <row r="1236">
          <cell r="A1236">
            <v>304565</v>
          </cell>
          <cell r="G1236" t="str">
            <v>UCSB032020</v>
          </cell>
        </row>
        <row r="1237">
          <cell r="A1237">
            <v>232773</v>
          </cell>
          <cell r="G1237" t="str">
            <v>UCSC100000691</v>
          </cell>
        </row>
        <row r="1238">
          <cell r="A1238">
            <v>3612028</v>
          </cell>
        </row>
        <row r="1239">
          <cell r="A1239">
            <v>1537502</v>
          </cell>
          <cell r="G1239" t="str">
            <v>UCR0083394</v>
          </cell>
        </row>
        <row r="1240">
          <cell r="A1240">
            <v>3941717</v>
          </cell>
          <cell r="G1240" t="str">
            <v>RSA0171232</v>
          </cell>
        </row>
        <row r="1241">
          <cell r="A1241">
            <v>3591680</v>
          </cell>
          <cell r="G1241" t="str">
            <v>UCR0083432</v>
          </cell>
        </row>
        <row r="1242">
          <cell r="A1242">
            <v>4665583</v>
          </cell>
          <cell r="G1242" t="str">
            <v>SD00054026</v>
          </cell>
        </row>
        <row r="1243">
          <cell r="A1243">
            <v>374522</v>
          </cell>
          <cell r="G1243" t="str">
            <v>SDSU00031</v>
          </cell>
        </row>
        <row r="1244">
          <cell r="A1244">
            <v>384334</v>
          </cell>
          <cell r="G1244" t="str">
            <v>SDSU09974</v>
          </cell>
        </row>
        <row r="1245">
          <cell r="A1245">
            <v>152436</v>
          </cell>
          <cell r="G1245" t="str">
            <v>SBBG213851</v>
          </cell>
        </row>
        <row r="1246">
          <cell r="A1246">
            <v>3700297</v>
          </cell>
          <cell r="G1246" t="str">
            <v>SD00030203</v>
          </cell>
        </row>
        <row r="1247">
          <cell r="A1247">
            <v>3823822</v>
          </cell>
          <cell r="G1247" t="str">
            <v>UCR0110950</v>
          </cell>
        </row>
        <row r="1248">
          <cell r="A1248">
            <v>231693</v>
          </cell>
          <cell r="G1248" t="str">
            <v>UCSC100000695</v>
          </cell>
        </row>
        <row r="1249">
          <cell r="A1249">
            <v>231694</v>
          </cell>
          <cell r="G1249" t="str">
            <v>UCSC100000694</v>
          </cell>
        </row>
        <row r="1250">
          <cell r="A1250">
            <v>3611988</v>
          </cell>
        </row>
        <row r="1251">
          <cell r="A1251">
            <v>610298</v>
          </cell>
          <cell r="G1251" t="str">
            <v>SFV104585</v>
          </cell>
        </row>
        <row r="1252">
          <cell r="A1252">
            <v>3042671</v>
          </cell>
          <cell r="G1252" t="str">
            <v>CATA 01118</v>
          </cell>
        </row>
        <row r="1253">
          <cell r="A1253">
            <v>3043848</v>
          </cell>
          <cell r="G1253" t="str">
            <v>CATA 01252</v>
          </cell>
        </row>
        <row r="1254">
          <cell r="A1254">
            <v>3945547</v>
          </cell>
        </row>
        <row r="1255">
          <cell r="A1255">
            <v>1333957</v>
          </cell>
          <cell r="G1255" t="str">
            <v>DAV300674</v>
          </cell>
        </row>
        <row r="1256">
          <cell r="A1256">
            <v>231367</v>
          </cell>
          <cell r="G1256" t="str">
            <v>UCSC100000693</v>
          </cell>
        </row>
        <row r="1257">
          <cell r="A1257">
            <v>1620584</v>
          </cell>
          <cell r="G1257" t="str">
            <v>UCR0083343</v>
          </cell>
        </row>
        <row r="1258">
          <cell r="A1258">
            <v>1367987</v>
          </cell>
        </row>
        <row r="1259">
          <cell r="A1259">
            <v>4665582</v>
          </cell>
          <cell r="G1259" t="str">
            <v>SD00054025</v>
          </cell>
        </row>
        <row r="1260">
          <cell r="A1260">
            <v>5068456</v>
          </cell>
          <cell r="G1260" t="str">
            <v>SDSU24116</v>
          </cell>
        </row>
        <row r="1261">
          <cell r="A1261">
            <v>202463</v>
          </cell>
          <cell r="G1261" t="str">
            <v>OBI101789</v>
          </cell>
        </row>
        <row r="1262">
          <cell r="A1262">
            <v>3611986</v>
          </cell>
        </row>
        <row r="1263">
          <cell r="A1263">
            <v>3612025</v>
          </cell>
        </row>
        <row r="1264">
          <cell r="A1264">
            <v>3611987</v>
          </cell>
        </row>
        <row r="1265">
          <cell r="A1265">
            <v>3612415</v>
          </cell>
        </row>
        <row r="1266">
          <cell r="A1266">
            <v>3611984</v>
          </cell>
        </row>
        <row r="1267">
          <cell r="A1267">
            <v>3612417</v>
          </cell>
        </row>
        <row r="1268">
          <cell r="A1268">
            <v>3611982</v>
          </cell>
        </row>
        <row r="1269">
          <cell r="A1269">
            <v>3612027</v>
          </cell>
        </row>
        <row r="1270">
          <cell r="A1270">
            <v>3611981</v>
          </cell>
        </row>
        <row r="1271">
          <cell r="A1271">
            <v>3611985</v>
          </cell>
        </row>
        <row r="1272">
          <cell r="A1272">
            <v>3612026</v>
          </cell>
        </row>
        <row r="1273">
          <cell r="A1273">
            <v>3612024</v>
          </cell>
        </row>
        <row r="1274">
          <cell r="A1274">
            <v>2070005</v>
          </cell>
          <cell r="G1274" t="str">
            <v>CHSC064605</v>
          </cell>
        </row>
        <row r="1275">
          <cell r="A1275">
            <v>3611977</v>
          </cell>
        </row>
        <row r="1276">
          <cell r="A1276">
            <v>3044356</v>
          </cell>
          <cell r="G1276" t="str">
            <v>CATA 00416</v>
          </cell>
        </row>
        <row r="1277">
          <cell r="A1277">
            <v>3829494</v>
          </cell>
          <cell r="G1277" t="str">
            <v>RSA0165092</v>
          </cell>
        </row>
        <row r="1278">
          <cell r="A1278">
            <v>3831698</v>
          </cell>
          <cell r="G1278" t="str">
            <v>RSA0165094</v>
          </cell>
        </row>
        <row r="1279">
          <cell r="A1279">
            <v>3838512</v>
          </cell>
          <cell r="G1279" t="str">
            <v>RSA0164843</v>
          </cell>
        </row>
        <row r="1280">
          <cell r="A1280">
            <v>1244315</v>
          </cell>
        </row>
        <row r="1281">
          <cell r="A1281">
            <v>68153</v>
          </cell>
          <cell r="G1281" t="str">
            <v>SBBG155400</v>
          </cell>
        </row>
        <row r="1282">
          <cell r="A1282">
            <v>55673</v>
          </cell>
          <cell r="G1282" t="str">
            <v>SBBG155525</v>
          </cell>
        </row>
        <row r="1283">
          <cell r="A1283">
            <v>3620050</v>
          </cell>
          <cell r="G1283" t="str">
            <v>SD00025382</v>
          </cell>
        </row>
        <row r="1284">
          <cell r="A1284">
            <v>5963480</v>
          </cell>
          <cell r="G1284" t="str">
            <v>UC2087784</v>
          </cell>
        </row>
        <row r="1285">
          <cell r="A1285">
            <v>5964123</v>
          </cell>
          <cell r="G1285" t="str">
            <v>UC2087786</v>
          </cell>
        </row>
        <row r="1286">
          <cell r="A1286">
            <v>1474365</v>
          </cell>
          <cell r="G1286" t="str">
            <v>UCR0083337</v>
          </cell>
        </row>
        <row r="1287">
          <cell r="A1287">
            <v>1474359</v>
          </cell>
          <cell r="G1287" t="str">
            <v>UCR0083339</v>
          </cell>
        </row>
        <row r="1288">
          <cell r="A1288">
            <v>2137472</v>
          </cell>
          <cell r="G1288" t="str">
            <v>CHSC119251</v>
          </cell>
        </row>
        <row r="1289">
          <cell r="A1289">
            <v>1086800</v>
          </cell>
        </row>
        <row r="1290">
          <cell r="A1290">
            <v>150366</v>
          </cell>
          <cell r="G1290" t="str">
            <v>SBBG213831</v>
          </cell>
        </row>
        <row r="1291">
          <cell r="A1291">
            <v>1679006</v>
          </cell>
          <cell r="G1291" t="str">
            <v>UCR0083393</v>
          </cell>
        </row>
        <row r="1292">
          <cell r="A1292">
            <v>1467990</v>
          </cell>
          <cell r="G1292" t="str">
            <v>UCR0083342</v>
          </cell>
        </row>
        <row r="1293">
          <cell r="A1293">
            <v>1235238</v>
          </cell>
        </row>
        <row r="1294">
          <cell r="A1294">
            <v>1474363</v>
          </cell>
          <cell r="G1294" t="str">
            <v>UCR0083347</v>
          </cell>
        </row>
        <row r="1295">
          <cell r="A1295">
            <v>1474361</v>
          </cell>
          <cell r="G1295" t="str">
            <v>UCR0083348</v>
          </cell>
        </row>
        <row r="1296">
          <cell r="A1296">
            <v>3611980</v>
          </cell>
        </row>
        <row r="1297">
          <cell r="A1297">
            <v>1474364</v>
          </cell>
          <cell r="G1297" t="str">
            <v>UCR0083375</v>
          </cell>
        </row>
        <row r="1298">
          <cell r="A1298">
            <v>36927</v>
          </cell>
          <cell r="G1298" t="str">
            <v>SBBG155539</v>
          </cell>
        </row>
        <row r="1299">
          <cell r="A1299">
            <v>3612036</v>
          </cell>
        </row>
        <row r="1300">
          <cell r="A1300">
            <v>2071112</v>
          </cell>
          <cell r="G1300" t="str">
            <v>CHSC065917</v>
          </cell>
        </row>
        <row r="1301">
          <cell r="A1301">
            <v>2071627</v>
          </cell>
          <cell r="G1301" t="str">
            <v>CHSC066479</v>
          </cell>
        </row>
        <row r="1302">
          <cell r="A1302">
            <v>3278418</v>
          </cell>
          <cell r="G1302" t="str">
            <v>JEPS88506</v>
          </cell>
        </row>
        <row r="1303">
          <cell r="A1303">
            <v>1368047</v>
          </cell>
          <cell r="G1303" t="str">
            <v>DAV310397</v>
          </cell>
        </row>
        <row r="1304">
          <cell r="A1304">
            <v>1367994</v>
          </cell>
          <cell r="G1304" t="str">
            <v>DAV310428</v>
          </cell>
        </row>
        <row r="1305">
          <cell r="A1305">
            <v>1368049</v>
          </cell>
          <cell r="G1305" t="str">
            <v>DAV310396</v>
          </cell>
        </row>
        <row r="1306">
          <cell r="A1306">
            <v>3324477</v>
          </cell>
          <cell r="G1306" t="str">
            <v>UC2027737</v>
          </cell>
        </row>
        <row r="1307">
          <cell r="A1307">
            <v>1107386</v>
          </cell>
        </row>
        <row r="1308">
          <cell r="A1308">
            <v>469023</v>
          </cell>
          <cell r="G1308" t="str">
            <v>SD00062572</v>
          </cell>
        </row>
        <row r="1309">
          <cell r="A1309">
            <v>1474357</v>
          </cell>
          <cell r="G1309" t="str">
            <v>UCR0083314</v>
          </cell>
        </row>
        <row r="1310">
          <cell r="A1310">
            <v>469022</v>
          </cell>
          <cell r="G1310" t="str">
            <v>SD00062798</v>
          </cell>
        </row>
        <row r="1311">
          <cell r="A1311">
            <v>610295</v>
          </cell>
          <cell r="G1311" t="str">
            <v>SFV104574</v>
          </cell>
        </row>
        <row r="1312">
          <cell r="A1312">
            <v>1474360</v>
          </cell>
          <cell r="G1312" t="str">
            <v>UCR0083338</v>
          </cell>
        </row>
        <row r="1313">
          <cell r="A1313">
            <v>2085275</v>
          </cell>
          <cell r="G1313" t="str">
            <v>CHSC081237</v>
          </cell>
        </row>
        <row r="1314">
          <cell r="A1314">
            <v>668312</v>
          </cell>
        </row>
        <row r="1315">
          <cell r="A1315">
            <v>4083924</v>
          </cell>
          <cell r="G1315" t="str">
            <v>CDA-003834</v>
          </cell>
        </row>
        <row r="1316">
          <cell r="A1316">
            <v>3776580</v>
          </cell>
          <cell r="G1316" t="str">
            <v>DAV328010</v>
          </cell>
        </row>
        <row r="1317">
          <cell r="A1317">
            <v>1339126</v>
          </cell>
          <cell r="G1317" t="str">
            <v>DAV310439</v>
          </cell>
        </row>
        <row r="1318">
          <cell r="A1318">
            <v>899090</v>
          </cell>
        </row>
        <row r="1319">
          <cell r="A1319">
            <v>469020</v>
          </cell>
          <cell r="G1319" t="str">
            <v>SD00062566</v>
          </cell>
        </row>
        <row r="1320">
          <cell r="A1320">
            <v>1583074</v>
          </cell>
          <cell r="G1320" t="str">
            <v>UCR0083307</v>
          </cell>
        </row>
        <row r="1321">
          <cell r="A1321">
            <v>202458</v>
          </cell>
          <cell r="G1321" t="str">
            <v>OBI101791</v>
          </cell>
        </row>
        <row r="1322">
          <cell r="A1322">
            <v>202450</v>
          </cell>
          <cell r="G1322" t="str">
            <v>OBI101735</v>
          </cell>
        </row>
        <row r="1323">
          <cell r="A1323">
            <v>3611979</v>
          </cell>
        </row>
        <row r="1324">
          <cell r="A1324">
            <v>3776588</v>
          </cell>
          <cell r="G1324" t="str">
            <v>DAV328011</v>
          </cell>
        </row>
        <row r="1325">
          <cell r="A1325">
            <v>3776574</v>
          </cell>
          <cell r="G1325" t="str">
            <v>DAV328009</v>
          </cell>
        </row>
        <row r="1326">
          <cell r="A1326">
            <v>3980864</v>
          </cell>
          <cell r="G1326" t="str">
            <v>SEKI17507</v>
          </cell>
        </row>
        <row r="1327">
          <cell r="A1327">
            <v>4095382</v>
          </cell>
          <cell r="G1327" t="str">
            <v>CDA-0043944</v>
          </cell>
        </row>
        <row r="1328">
          <cell r="A1328">
            <v>1088339</v>
          </cell>
          <cell r="G1328" t="str">
            <v>RSA0027717</v>
          </cell>
        </row>
        <row r="1329">
          <cell r="A1329">
            <v>3275642</v>
          </cell>
          <cell r="G1329" t="str">
            <v>UC2028045</v>
          </cell>
        </row>
        <row r="1330">
          <cell r="A1330">
            <v>3544281</v>
          </cell>
          <cell r="G1330" t="str">
            <v>UC2028176</v>
          </cell>
        </row>
        <row r="1331">
          <cell r="A1331">
            <v>3483502</v>
          </cell>
          <cell r="G1331" t="str">
            <v>UC2028212</v>
          </cell>
        </row>
        <row r="1332">
          <cell r="A1332">
            <v>3239401</v>
          </cell>
          <cell r="G1332" t="str">
            <v>UC2028282</v>
          </cell>
        </row>
        <row r="1333">
          <cell r="A1333">
            <v>3544438</v>
          </cell>
          <cell r="G1333" t="str">
            <v>UC2028317</v>
          </cell>
        </row>
        <row r="1334">
          <cell r="A1334">
            <v>645142</v>
          </cell>
        </row>
        <row r="1335">
          <cell r="A1335">
            <v>824961</v>
          </cell>
        </row>
        <row r="1336">
          <cell r="A1336">
            <v>1546416</v>
          </cell>
          <cell r="G1336" t="str">
            <v>UCR0083334</v>
          </cell>
        </row>
        <row r="1337">
          <cell r="A1337">
            <v>3373130</v>
          </cell>
          <cell r="G1337" t="str">
            <v>JEPS126116</v>
          </cell>
        </row>
        <row r="1338">
          <cell r="A1338">
            <v>387226</v>
          </cell>
          <cell r="G1338" t="str">
            <v>SDSU12880</v>
          </cell>
        </row>
        <row r="1339">
          <cell r="A1339">
            <v>1483561</v>
          </cell>
          <cell r="G1339" t="str">
            <v>UCR0083352</v>
          </cell>
        </row>
        <row r="1340">
          <cell r="A1340">
            <v>4095381</v>
          </cell>
          <cell r="G1340" t="str">
            <v>CDA-0043178</v>
          </cell>
        </row>
        <row r="1341">
          <cell r="A1341">
            <v>202448</v>
          </cell>
          <cell r="G1341" t="str">
            <v>OBI181422</v>
          </cell>
        </row>
        <row r="1342">
          <cell r="A1342">
            <v>1088087</v>
          </cell>
          <cell r="G1342" t="str">
            <v>RSA0116328</v>
          </cell>
        </row>
        <row r="1343">
          <cell r="A1343">
            <v>63222</v>
          </cell>
          <cell r="G1343" t="str">
            <v>SBBG155541</v>
          </cell>
        </row>
        <row r="1344">
          <cell r="A1344">
            <v>469167</v>
          </cell>
          <cell r="G1344" t="str">
            <v>SD00062807</v>
          </cell>
        </row>
        <row r="1345">
          <cell r="A1345">
            <v>1697342</v>
          </cell>
          <cell r="G1345" t="str">
            <v>UCR0083324</v>
          </cell>
        </row>
        <row r="1346">
          <cell r="A1346">
            <v>2963408</v>
          </cell>
          <cell r="G1346" t="str">
            <v>YOSE109090</v>
          </cell>
        </row>
        <row r="1347">
          <cell r="A1347">
            <v>2963409</v>
          </cell>
          <cell r="G1347" t="str">
            <v>YOSE109091</v>
          </cell>
        </row>
        <row r="1348">
          <cell r="A1348">
            <v>4095389</v>
          </cell>
          <cell r="G1348" t="str">
            <v>CDA-0016146</v>
          </cell>
        </row>
        <row r="1349">
          <cell r="A1349">
            <v>1480899</v>
          </cell>
          <cell r="G1349" t="str">
            <v>UCR0083353</v>
          </cell>
        </row>
        <row r="1350">
          <cell r="A1350">
            <v>469024</v>
          </cell>
          <cell r="G1350" t="str">
            <v>SD00062740</v>
          </cell>
        </row>
        <row r="1351">
          <cell r="A1351">
            <v>4068227</v>
          </cell>
          <cell r="G1351" t="str">
            <v>CDA-0015456</v>
          </cell>
        </row>
        <row r="1352">
          <cell r="A1352">
            <v>4068228</v>
          </cell>
          <cell r="G1352" t="str">
            <v>CDA-0015457</v>
          </cell>
        </row>
        <row r="1353">
          <cell r="A1353">
            <v>4095390</v>
          </cell>
          <cell r="G1353" t="str">
            <v>CDA-0016210</v>
          </cell>
        </row>
        <row r="1354">
          <cell r="A1354">
            <v>4095391</v>
          </cell>
          <cell r="G1354" t="str">
            <v>CDA-0016211</v>
          </cell>
        </row>
        <row r="1355">
          <cell r="A1355">
            <v>1062780</v>
          </cell>
          <cell r="G1355" t="str">
            <v>RSA0112065</v>
          </cell>
        </row>
        <row r="1356">
          <cell r="A1356">
            <v>58230</v>
          </cell>
          <cell r="G1356" t="str">
            <v>SBBG155413</v>
          </cell>
        </row>
        <row r="1357">
          <cell r="A1357">
            <v>56682</v>
          </cell>
          <cell r="G1357" t="str">
            <v>SBBG155401</v>
          </cell>
        </row>
        <row r="1358">
          <cell r="A1358">
            <v>122801</v>
          </cell>
          <cell r="G1358" t="str">
            <v>SBBG155542</v>
          </cell>
        </row>
        <row r="1359">
          <cell r="A1359">
            <v>469166</v>
          </cell>
          <cell r="G1359" t="str">
            <v>SD00062567</v>
          </cell>
        </row>
        <row r="1360">
          <cell r="A1360">
            <v>469168</v>
          </cell>
          <cell r="G1360" t="str">
            <v>SD00062806</v>
          </cell>
        </row>
        <row r="1361">
          <cell r="A1361">
            <v>1696723</v>
          </cell>
          <cell r="G1361" t="str">
            <v>UCR0083325</v>
          </cell>
        </row>
        <row r="1362">
          <cell r="A1362">
            <v>1300530</v>
          </cell>
          <cell r="G1362" t="str">
            <v>DAV310440</v>
          </cell>
        </row>
        <row r="1363">
          <cell r="A1363">
            <v>2085539</v>
          </cell>
          <cell r="G1363" t="str">
            <v>CHSC081475</v>
          </cell>
        </row>
        <row r="1364">
          <cell r="A1364">
            <v>1327836</v>
          </cell>
          <cell r="G1364" t="str">
            <v>DAV315352</v>
          </cell>
        </row>
        <row r="1365">
          <cell r="A1365">
            <v>1367985</v>
          </cell>
          <cell r="G1365" t="str">
            <v>DAV300676</v>
          </cell>
        </row>
        <row r="1366">
          <cell r="A1366">
            <v>4095376</v>
          </cell>
          <cell r="G1366" t="str">
            <v>CDA-0018774</v>
          </cell>
        </row>
        <row r="1367">
          <cell r="A1367">
            <v>469027</v>
          </cell>
          <cell r="G1367" t="str">
            <v>SD00062662</v>
          </cell>
        </row>
        <row r="1368">
          <cell r="A1368">
            <v>469025</v>
          </cell>
          <cell r="G1368" t="str">
            <v>SD00062738</v>
          </cell>
        </row>
        <row r="1369">
          <cell r="A1369">
            <v>469028</v>
          </cell>
          <cell r="G1369" t="str">
            <v>SD00062768</v>
          </cell>
        </row>
        <row r="1370">
          <cell r="A1370">
            <v>3753225</v>
          </cell>
          <cell r="G1370" t="str">
            <v>SDSU15560</v>
          </cell>
        </row>
        <row r="1371">
          <cell r="A1371">
            <v>4095392</v>
          </cell>
          <cell r="G1371" t="str">
            <v>CDA-0018779</v>
          </cell>
        </row>
        <row r="1372">
          <cell r="A1372">
            <v>974876</v>
          </cell>
        </row>
        <row r="1373">
          <cell r="A1373">
            <v>611759</v>
          </cell>
          <cell r="G1373" t="str">
            <v>SFV104580</v>
          </cell>
        </row>
        <row r="1374">
          <cell r="A1374">
            <v>1056531</v>
          </cell>
        </row>
        <row r="1375">
          <cell r="A1375">
            <v>4095416</v>
          </cell>
        </row>
        <row r="1376">
          <cell r="A1376">
            <v>202449</v>
          </cell>
          <cell r="G1376" t="str">
            <v>OBI101734</v>
          </cell>
        </row>
        <row r="1377">
          <cell r="A1377">
            <v>293450</v>
          </cell>
          <cell r="G1377" t="str">
            <v>UCSB032040</v>
          </cell>
        </row>
        <row r="1378">
          <cell r="A1378">
            <v>4235</v>
          </cell>
        </row>
        <row r="1379">
          <cell r="A1379">
            <v>76355</v>
          </cell>
          <cell r="G1379" t="str">
            <v>SBBG213818</v>
          </cell>
        </row>
        <row r="1380">
          <cell r="A1380">
            <v>388498</v>
          </cell>
          <cell r="G1380" t="str">
            <v>SDSU14182</v>
          </cell>
        </row>
        <row r="1381">
          <cell r="A1381">
            <v>4095393</v>
          </cell>
          <cell r="G1381" t="str">
            <v>CDA-0019431</v>
          </cell>
        </row>
        <row r="1382">
          <cell r="A1382">
            <v>1156433</v>
          </cell>
        </row>
        <row r="1383">
          <cell r="A1383">
            <v>1249156</v>
          </cell>
        </row>
        <row r="1384">
          <cell r="A1384">
            <v>388460</v>
          </cell>
          <cell r="G1384" t="str">
            <v>SDSU14146</v>
          </cell>
        </row>
        <row r="1385">
          <cell r="A1385">
            <v>330069</v>
          </cell>
          <cell r="G1385" t="str">
            <v>UCSB040101</v>
          </cell>
        </row>
        <row r="1386">
          <cell r="A1386">
            <v>4095394</v>
          </cell>
          <cell r="G1386" t="str">
            <v>CDA-0019865</v>
          </cell>
        </row>
        <row r="1387">
          <cell r="A1387">
            <v>1337204</v>
          </cell>
          <cell r="G1387" t="str">
            <v>DAV300671</v>
          </cell>
        </row>
        <row r="1388">
          <cell r="A1388">
            <v>3475357</v>
          </cell>
          <cell r="G1388" t="str">
            <v>JEPS100009</v>
          </cell>
        </row>
        <row r="1389">
          <cell r="A1389">
            <v>1201840</v>
          </cell>
        </row>
        <row r="1390">
          <cell r="A1390">
            <v>1655005</v>
          </cell>
          <cell r="G1390" t="str">
            <v>UCR0083331</v>
          </cell>
        </row>
        <row r="1391">
          <cell r="A1391">
            <v>1635838</v>
          </cell>
          <cell r="G1391" t="str">
            <v>UCR0083340</v>
          </cell>
        </row>
        <row r="1392">
          <cell r="A1392">
            <v>1548194</v>
          </cell>
          <cell r="G1392" t="str">
            <v>UCR0083344</v>
          </cell>
        </row>
        <row r="1393">
          <cell r="A1393">
            <v>634491</v>
          </cell>
          <cell r="G1393" t="str">
            <v>IRVC101164</v>
          </cell>
        </row>
        <row r="1394">
          <cell r="A1394">
            <v>1171501</v>
          </cell>
        </row>
        <row r="1395">
          <cell r="A1395">
            <v>84330</v>
          </cell>
          <cell r="G1395" t="str">
            <v>SBBG213817</v>
          </cell>
        </row>
        <row r="1396">
          <cell r="A1396">
            <v>469038</v>
          </cell>
          <cell r="G1396" t="str">
            <v>SD00062686</v>
          </cell>
        </row>
        <row r="1397">
          <cell r="A1397">
            <v>469039</v>
          </cell>
          <cell r="G1397" t="str">
            <v>SD00062763</v>
          </cell>
        </row>
        <row r="1398">
          <cell r="A1398">
            <v>469031</v>
          </cell>
          <cell r="G1398" t="str">
            <v>SD00062660</v>
          </cell>
        </row>
        <row r="1399">
          <cell r="A1399">
            <v>469149</v>
          </cell>
          <cell r="G1399" t="str">
            <v>SD00062555</v>
          </cell>
        </row>
        <row r="1400">
          <cell r="A1400">
            <v>469030</v>
          </cell>
          <cell r="G1400" t="str">
            <v>SD00062661</v>
          </cell>
        </row>
        <row r="1401">
          <cell r="A1401">
            <v>469053</v>
          </cell>
          <cell r="G1401" t="str">
            <v>SD00062753</v>
          </cell>
        </row>
        <row r="1402">
          <cell r="A1402">
            <v>389892</v>
          </cell>
          <cell r="G1402" t="str">
            <v>SDSU15680</v>
          </cell>
        </row>
        <row r="1403">
          <cell r="A1403">
            <v>1562530</v>
          </cell>
          <cell r="G1403" t="str">
            <v>UCR0083365</v>
          </cell>
        </row>
        <row r="1404">
          <cell r="A1404">
            <v>1585505</v>
          </cell>
          <cell r="G1404" t="str">
            <v>UCR0083362</v>
          </cell>
        </row>
        <row r="1405">
          <cell r="A1405">
            <v>1544580</v>
          </cell>
          <cell r="G1405" t="str">
            <v>UCR0083308</v>
          </cell>
        </row>
        <row r="1406">
          <cell r="A1406">
            <v>1566244</v>
          </cell>
          <cell r="G1406" t="str">
            <v>UCR0083370</v>
          </cell>
        </row>
        <row r="1407">
          <cell r="A1407">
            <v>1547140</v>
          </cell>
          <cell r="G1407" t="str">
            <v>UCR0083373</v>
          </cell>
        </row>
        <row r="1408">
          <cell r="A1408">
            <v>4455</v>
          </cell>
        </row>
        <row r="1409">
          <cell r="A1409">
            <v>1302899</v>
          </cell>
          <cell r="G1409" t="str">
            <v>DAV300672</v>
          </cell>
        </row>
        <row r="1410">
          <cell r="A1410">
            <v>202480</v>
          </cell>
          <cell r="G1410" t="str">
            <v>OBI101761</v>
          </cell>
        </row>
        <row r="1411">
          <cell r="A1411">
            <v>646907</v>
          </cell>
        </row>
        <row r="1412">
          <cell r="A1412">
            <v>630761</v>
          </cell>
          <cell r="G1412" t="str">
            <v>IRVC101210</v>
          </cell>
        </row>
        <row r="1413">
          <cell r="A1413">
            <v>469047</v>
          </cell>
          <cell r="G1413" t="str">
            <v>SD00062756</v>
          </cell>
        </row>
        <row r="1414">
          <cell r="A1414">
            <v>469035</v>
          </cell>
          <cell r="G1414" t="str">
            <v>SD00062765</v>
          </cell>
        </row>
        <row r="1415">
          <cell r="A1415">
            <v>469034</v>
          </cell>
          <cell r="G1415" t="str">
            <v>SD00062764</v>
          </cell>
        </row>
        <row r="1416">
          <cell r="A1416">
            <v>469033</v>
          </cell>
          <cell r="G1416" t="str">
            <v>SD00062766</v>
          </cell>
        </row>
        <row r="1417">
          <cell r="A1417">
            <v>469068</v>
          </cell>
          <cell r="G1417" t="str">
            <v>SD00062560</v>
          </cell>
        </row>
        <row r="1418">
          <cell r="A1418">
            <v>469032</v>
          </cell>
          <cell r="G1418" t="str">
            <v>SD00062767</v>
          </cell>
        </row>
        <row r="1419">
          <cell r="A1419">
            <v>469041</v>
          </cell>
          <cell r="G1419" t="str">
            <v>SD00062580</v>
          </cell>
        </row>
        <row r="1420">
          <cell r="A1420">
            <v>469073</v>
          </cell>
          <cell r="G1420" t="str">
            <v>SD00062640</v>
          </cell>
        </row>
        <row r="1421">
          <cell r="A1421">
            <v>469058</v>
          </cell>
          <cell r="G1421" t="str">
            <v>SD00062561</v>
          </cell>
        </row>
        <row r="1422">
          <cell r="A1422">
            <v>469069</v>
          </cell>
          <cell r="G1422" t="str">
            <v>SD00062559</v>
          </cell>
        </row>
        <row r="1423">
          <cell r="A1423">
            <v>469059</v>
          </cell>
          <cell r="G1423" t="str">
            <v>SD00062755</v>
          </cell>
        </row>
        <row r="1424">
          <cell r="A1424">
            <v>469055</v>
          </cell>
          <cell r="G1424" t="str">
            <v>SD00062752</v>
          </cell>
        </row>
        <row r="1425">
          <cell r="A1425">
            <v>469040</v>
          </cell>
          <cell r="G1425" t="str">
            <v>SD00062685</v>
          </cell>
        </row>
        <row r="1426">
          <cell r="A1426">
            <v>469062</v>
          </cell>
          <cell r="G1426" t="str">
            <v>SD00062590</v>
          </cell>
        </row>
        <row r="1427">
          <cell r="A1427">
            <v>469078</v>
          </cell>
          <cell r="G1427" t="str">
            <v>SD00062639</v>
          </cell>
        </row>
        <row r="1428">
          <cell r="A1428">
            <v>1555576</v>
          </cell>
          <cell r="G1428" t="str">
            <v>UCR0083363</v>
          </cell>
        </row>
        <row r="1429">
          <cell r="A1429">
            <v>1578856</v>
          </cell>
          <cell r="G1429" t="str">
            <v>UCR0083366</v>
          </cell>
        </row>
        <row r="1430">
          <cell r="A1430">
            <v>1576181</v>
          </cell>
          <cell r="G1430" t="str">
            <v>UCR0083368</v>
          </cell>
        </row>
        <row r="1431">
          <cell r="A1431">
            <v>1654990</v>
          </cell>
          <cell r="G1431" t="str">
            <v>UCR0083358</v>
          </cell>
        </row>
        <row r="1432">
          <cell r="A1432">
            <v>4084876</v>
          </cell>
          <cell r="G1432" t="str">
            <v>CDA-0043773</v>
          </cell>
        </row>
        <row r="1433">
          <cell r="A1433">
            <v>1657455</v>
          </cell>
          <cell r="G1433" t="str">
            <v>UCR0083305</v>
          </cell>
        </row>
        <row r="1434">
          <cell r="A1434">
            <v>1560057</v>
          </cell>
          <cell r="G1434" t="str">
            <v>UCR0083372</v>
          </cell>
        </row>
        <row r="1435">
          <cell r="A1435">
            <v>3400832</v>
          </cell>
          <cell r="G1435" t="str">
            <v>JEPS111867</v>
          </cell>
        </row>
        <row r="1436">
          <cell r="A1436">
            <v>4418728</v>
          </cell>
          <cell r="G1436" t="str">
            <v>SBBG204337</v>
          </cell>
        </row>
        <row r="1437">
          <cell r="A1437">
            <v>2120835</v>
          </cell>
          <cell r="G1437" t="str">
            <v>CHSC090955</v>
          </cell>
        </row>
        <row r="1438">
          <cell r="A1438">
            <v>1602409</v>
          </cell>
          <cell r="G1438" t="str">
            <v>UCR0111501</v>
          </cell>
        </row>
        <row r="1439">
          <cell r="A1439">
            <v>3584664</v>
          </cell>
          <cell r="G1439" t="str">
            <v>BSCA4416</v>
          </cell>
        </row>
        <row r="1440">
          <cell r="A1440">
            <v>2500762</v>
          </cell>
          <cell r="G1440">
            <v>154056</v>
          </cell>
        </row>
        <row r="1441">
          <cell r="A1441">
            <v>1239382</v>
          </cell>
        </row>
        <row r="1442">
          <cell r="A1442">
            <v>977847</v>
          </cell>
        </row>
        <row r="1443">
          <cell r="A1443">
            <v>1024091</v>
          </cell>
        </row>
        <row r="1444">
          <cell r="A1444">
            <v>469052</v>
          </cell>
          <cell r="G1444" t="str">
            <v>SD00062746</v>
          </cell>
        </row>
        <row r="1445">
          <cell r="A1445">
            <v>469045</v>
          </cell>
          <cell r="G1445" t="str">
            <v>SD00062758</v>
          </cell>
        </row>
        <row r="1446">
          <cell r="A1446">
            <v>469060</v>
          </cell>
          <cell r="G1446" t="str">
            <v>SD00062748</v>
          </cell>
        </row>
        <row r="1447">
          <cell r="A1447">
            <v>469061</v>
          </cell>
          <cell r="G1447" t="str">
            <v>SD00062747</v>
          </cell>
        </row>
        <row r="1448">
          <cell r="A1448">
            <v>469044</v>
          </cell>
          <cell r="G1448" t="str">
            <v>SD00062760</v>
          </cell>
        </row>
        <row r="1449">
          <cell r="A1449">
            <v>469043</v>
          </cell>
          <cell r="G1449" t="str">
            <v>SD00062761</v>
          </cell>
        </row>
        <row r="1450">
          <cell r="A1450">
            <v>469042</v>
          </cell>
          <cell r="G1450" t="str">
            <v>SD00062762</v>
          </cell>
        </row>
        <row r="1451">
          <cell r="A1451">
            <v>469102</v>
          </cell>
          <cell r="G1451" t="str">
            <v>SD00062632</v>
          </cell>
        </row>
        <row r="1452">
          <cell r="A1452">
            <v>469054</v>
          </cell>
          <cell r="G1452" t="str">
            <v>SD00062749</v>
          </cell>
        </row>
        <row r="1453">
          <cell r="A1453">
            <v>469056</v>
          </cell>
          <cell r="G1453" t="str">
            <v>SD00062751</v>
          </cell>
        </row>
        <row r="1454">
          <cell r="A1454">
            <v>469064</v>
          </cell>
          <cell r="G1454" t="str">
            <v>SD00060503</v>
          </cell>
        </row>
        <row r="1455">
          <cell r="A1455">
            <v>469063</v>
          </cell>
          <cell r="G1455" t="str">
            <v>SD00062589</v>
          </cell>
        </row>
        <row r="1456">
          <cell r="A1456">
            <v>469074</v>
          </cell>
          <cell r="G1456" t="str">
            <v>SD00062643</v>
          </cell>
        </row>
        <row r="1457">
          <cell r="A1457">
            <v>469075</v>
          </cell>
          <cell r="G1457" t="str">
            <v>SD00062644</v>
          </cell>
        </row>
        <row r="1458">
          <cell r="A1458">
            <v>469065</v>
          </cell>
          <cell r="G1458" t="str">
            <v>SD00062735</v>
          </cell>
        </row>
        <row r="1459">
          <cell r="A1459">
            <v>469057</v>
          </cell>
          <cell r="G1459" t="str">
            <v>SD00062750</v>
          </cell>
        </row>
        <row r="1460">
          <cell r="A1460">
            <v>469046</v>
          </cell>
          <cell r="G1460" t="str">
            <v>SD00062759</v>
          </cell>
        </row>
        <row r="1461">
          <cell r="A1461">
            <v>469070</v>
          </cell>
          <cell r="G1461" t="str">
            <v>SD00062646</v>
          </cell>
        </row>
        <row r="1462">
          <cell r="A1462">
            <v>469048</v>
          </cell>
          <cell r="G1462" t="str">
            <v>SD00062757</v>
          </cell>
        </row>
        <row r="1463">
          <cell r="A1463">
            <v>469050</v>
          </cell>
          <cell r="G1463" t="str">
            <v>SD00062709</v>
          </cell>
        </row>
        <row r="1464">
          <cell r="A1464">
            <v>469049</v>
          </cell>
          <cell r="G1464" t="str">
            <v>SD00062684</v>
          </cell>
        </row>
        <row r="1465">
          <cell r="A1465">
            <v>469051</v>
          </cell>
          <cell r="G1465" t="str">
            <v>SD00062708</v>
          </cell>
        </row>
        <row r="1466">
          <cell r="A1466">
            <v>469085</v>
          </cell>
          <cell r="G1466" t="str">
            <v>SD00062638</v>
          </cell>
        </row>
        <row r="1467">
          <cell r="A1467">
            <v>469095</v>
          </cell>
          <cell r="G1467" t="str">
            <v>SD00062585</v>
          </cell>
        </row>
        <row r="1468">
          <cell r="A1468">
            <v>469067</v>
          </cell>
          <cell r="G1468" t="str">
            <v>SD00062648</v>
          </cell>
        </row>
        <row r="1469">
          <cell r="A1469">
            <v>469112</v>
          </cell>
          <cell r="G1469" t="str">
            <v>SD00062732</v>
          </cell>
        </row>
        <row r="1470">
          <cell r="A1470">
            <v>469132</v>
          </cell>
          <cell r="G1470" t="str">
            <v>SD00062681</v>
          </cell>
        </row>
        <row r="1471">
          <cell r="A1471">
            <v>469076</v>
          </cell>
          <cell r="G1471" t="str">
            <v>SD00062642</v>
          </cell>
        </row>
        <row r="1472">
          <cell r="A1472">
            <v>469071</v>
          </cell>
          <cell r="G1472" t="str">
            <v>SD00062645</v>
          </cell>
        </row>
        <row r="1473">
          <cell r="A1473">
            <v>469066</v>
          </cell>
          <cell r="G1473" t="str">
            <v>SD00062647</v>
          </cell>
        </row>
        <row r="1474">
          <cell r="A1474">
            <v>469079</v>
          </cell>
          <cell r="G1474" t="str">
            <v>SD00062691</v>
          </cell>
        </row>
        <row r="1475">
          <cell r="A1475">
            <v>469087</v>
          </cell>
          <cell r="G1475" t="str">
            <v>SD00062587</v>
          </cell>
        </row>
        <row r="1476">
          <cell r="A1476">
            <v>469077</v>
          </cell>
          <cell r="G1476" t="str">
            <v>SD00062641</v>
          </cell>
        </row>
        <row r="1477">
          <cell r="A1477">
            <v>390689</v>
          </cell>
          <cell r="G1477" t="str">
            <v>SDSU16487</v>
          </cell>
        </row>
        <row r="1478">
          <cell r="A1478">
            <v>391803</v>
          </cell>
          <cell r="G1478" t="str">
            <v>SDSU17622</v>
          </cell>
        </row>
        <row r="1479">
          <cell r="A1479">
            <v>1572304</v>
          </cell>
          <cell r="G1479" t="str">
            <v>UCR0083369</v>
          </cell>
        </row>
        <row r="1480">
          <cell r="A1480">
            <v>1591452</v>
          </cell>
          <cell r="G1480" t="str">
            <v>UCR0083359</v>
          </cell>
        </row>
        <row r="1481">
          <cell r="A1481">
            <v>1588191</v>
          </cell>
          <cell r="G1481" t="str">
            <v>UCR0083361</v>
          </cell>
        </row>
        <row r="1482">
          <cell r="A1482">
            <v>1575247</v>
          </cell>
          <cell r="G1482" t="str">
            <v>UCR0083367</v>
          </cell>
        </row>
        <row r="1483">
          <cell r="A1483">
            <v>1578414</v>
          </cell>
          <cell r="G1483" t="str">
            <v>UCR0083364</v>
          </cell>
        </row>
        <row r="1484">
          <cell r="A1484">
            <v>1591417</v>
          </cell>
          <cell r="G1484" t="str">
            <v>UCR0083360</v>
          </cell>
        </row>
        <row r="1485">
          <cell r="A1485">
            <v>1582894</v>
          </cell>
          <cell r="G1485" t="str">
            <v>UCR0083403</v>
          </cell>
        </row>
        <row r="1486">
          <cell r="A1486">
            <v>1896191</v>
          </cell>
          <cell r="G1486" t="str">
            <v>UCSB041759</v>
          </cell>
        </row>
        <row r="1487">
          <cell r="A1487">
            <v>4095406</v>
          </cell>
          <cell r="G1487" t="str">
            <v>CDA-0003830</v>
          </cell>
        </row>
        <row r="1488">
          <cell r="A1488">
            <v>4095408</v>
          </cell>
          <cell r="G1488" t="str">
            <v>CDA-0003832</v>
          </cell>
        </row>
        <row r="1489">
          <cell r="A1489">
            <v>1368008</v>
          </cell>
          <cell r="G1489" t="str">
            <v>DAV310424</v>
          </cell>
        </row>
        <row r="1490">
          <cell r="A1490">
            <v>1591165</v>
          </cell>
          <cell r="G1490" t="str">
            <v>UCR0083322</v>
          </cell>
        </row>
        <row r="1491">
          <cell r="A1491">
            <v>1601338</v>
          </cell>
          <cell r="G1491" t="str">
            <v>UCR0083321</v>
          </cell>
        </row>
        <row r="1492">
          <cell r="A1492">
            <v>1368007</v>
          </cell>
          <cell r="G1492" t="str">
            <v>DAV310419</v>
          </cell>
        </row>
        <row r="1493">
          <cell r="A1493">
            <v>1590780</v>
          </cell>
          <cell r="G1493" t="str">
            <v>UCR0083396</v>
          </cell>
        </row>
        <row r="1494">
          <cell r="A1494">
            <v>469080</v>
          </cell>
          <cell r="G1494" t="str">
            <v>SD00062692</v>
          </cell>
        </row>
        <row r="1495">
          <cell r="A1495">
            <v>469086</v>
          </cell>
          <cell r="G1495" t="str">
            <v>SD00062588</v>
          </cell>
        </row>
        <row r="1496">
          <cell r="A1496">
            <v>469082</v>
          </cell>
          <cell r="G1496" t="str">
            <v>SD00062693</v>
          </cell>
        </row>
        <row r="1497">
          <cell r="A1497">
            <v>469081</v>
          </cell>
          <cell r="G1497" t="str">
            <v>SD00062687</v>
          </cell>
        </row>
        <row r="1498">
          <cell r="A1498">
            <v>469088</v>
          </cell>
          <cell r="G1498" t="str">
            <v>SD00062690</v>
          </cell>
        </row>
        <row r="1499">
          <cell r="A1499">
            <v>469094</v>
          </cell>
          <cell r="G1499" t="str">
            <v>SD00062586</v>
          </cell>
        </row>
        <row r="1500">
          <cell r="A1500">
            <v>469091</v>
          </cell>
          <cell r="G1500" t="str">
            <v>SD00062720</v>
          </cell>
        </row>
        <row r="1501">
          <cell r="A1501">
            <v>469083</v>
          </cell>
          <cell r="G1501" t="str">
            <v>SD00062695</v>
          </cell>
        </row>
        <row r="1502">
          <cell r="A1502">
            <v>469084</v>
          </cell>
          <cell r="G1502" t="str">
            <v>SD00062694</v>
          </cell>
        </row>
        <row r="1503">
          <cell r="A1503">
            <v>469093</v>
          </cell>
          <cell r="G1503" t="str">
            <v>SD00062721</v>
          </cell>
        </row>
        <row r="1504">
          <cell r="A1504">
            <v>469126</v>
          </cell>
          <cell r="G1504" t="str">
            <v>SD00062682</v>
          </cell>
        </row>
        <row r="1505">
          <cell r="A1505">
            <v>469096</v>
          </cell>
          <cell r="G1505" t="str">
            <v>SD00062584</v>
          </cell>
        </row>
        <row r="1506">
          <cell r="A1506">
            <v>469100</v>
          </cell>
          <cell r="G1506" t="str">
            <v>SD00062634</v>
          </cell>
        </row>
        <row r="1507">
          <cell r="A1507">
            <v>469104</v>
          </cell>
          <cell r="G1507" t="str">
            <v>SD00062785</v>
          </cell>
        </row>
        <row r="1508">
          <cell r="A1508">
            <v>469115</v>
          </cell>
          <cell r="G1508" t="str">
            <v>SD00062731</v>
          </cell>
        </row>
        <row r="1509">
          <cell r="A1509">
            <v>469090</v>
          </cell>
          <cell r="G1509" t="str">
            <v>SD00062688</v>
          </cell>
        </row>
        <row r="1510">
          <cell r="A1510">
            <v>469092</v>
          </cell>
          <cell r="G1510" t="str">
            <v>SD00062719</v>
          </cell>
        </row>
        <row r="1511">
          <cell r="A1511">
            <v>469105</v>
          </cell>
          <cell r="G1511" t="str">
            <v>SD00062729</v>
          </cell>
        </row>
        <row r="1512">
          <cell r="A1512">
            <v>469101</v>
          </cell>
          <cell r="G1512" t="str">
            <v>SD00062635</v>
          </cell>
        </row>
        <row r="1513">
          <cell r="A1513">
            <v>469172</v>
          </cell>
          <cell r="G1513" t="str">
            <v>SD00062778</v>
          </cell>
        </row>
        <row r="1514">
          <cell r="A1514">
            <v>469114</v>
          </cell>
          <cell r="G1514" t="str">
            <v>SD00062734</v>
          </cell>
        </row>
        <row r="1515">
          <cell r="A1515">
            <v>469099</v>
          </cell>
          <cell r="G1515" t="str">
            <v>SD00062633</v>
          </cell>
        </row>
        <row r="1516">
          <cell r="A1516">
            <v>469089</v>
          </cell>
          <cell r="G1516" t="str">
            <v>SD00062689</v>
          </cell>
        </row>
        <row r="1517">
          <cell r="A1517">
            <v>469117</v>
          </cell>
          <cell r="G1517" t="str">
            <v>SD00062727</v>
          </cell>
        </row>
        <row r="1518">
          <cell r="A1518">
            <v>4095374</v>
          </cell>
          <cell r="G1518" t="str">
            <v>CDA-0008773</v>
          </cell>
        </row>
        <row r="1519">
          <cell r="A1519">
            <v>2125798</v>
          </cell>
          <cell r="G1519" t="str">
            <v>CHSC099463</v>
          </cell>
        </row>
        <row r="1520">
          <cell r="A1520">
            <v>983097</v>
          </cell>
        </row>
        <row r="1521">
          <cell r="A1521">
            <v>1606153</v>
          </cell>
          <cell r="G1521" t="str">
            <v>UCR0083333</v>
          </cell>
        </row>
        <row r="1522">
          <cell r="A1522">
            <v>2124078</v>
          </cell>
          <cell r="G1522" t="str">
            <v>CHSC096467</v>
          </cell>
        </row>
        <row r="1523">
          <cell r="A1523">
            <v>3511024</v>
          </cell>
          <cell r="G1523" t="str">
            <v>JEPS113119</v>
          </cell>
        </row>
        <row r="1524">
          <cell r="A1524">
            <v>1613581</v>
          </cell>
          <cell r="G1524" t="str">
            <v>UCR0083310</v>
          </cell>
        </row>
        <row r="1525">
          <cell r="A1525">
            <v>4095402</v>
          </cell>
          <cell r="G1525" t="str">
            <v>CDA-0035804</v>
          </cell>
        </row>
        <row r="1526">
          <cell r="A1526">
            <v>1368009</v>
          </cell>
          <cell r="G1526" t="str">
            <v>DAV310425</v>
          </cell>
        </row>
        <row r="1527">
          <cell r="A1527">
            <v>1368010</v>
          </cell>
          <cell r="G1527" t="str">
            <v>DAV310426</v>
          </cell>
        </row>
        <row r="1528">
          <cell r="A1528">
            <v>1603927</v>
          </cell>
          <cell r="G1528" t="str">
            <v>UCR0083399</v>
          </cell>
        </row>
        <row r="1529">
          <cell r="A1529">
            <v>4095387</v>
          </cell>
          <cell r="G1529" t="str">
            <v>CDA-0008344</v>
          </cell>
        </row>
        <row r="1530">
          <cell r="A1530">
            <v>469108</v>
          </cell>
          <cell r="G1530" t="str">
            <v>SD00062629</v>
          </cell>
        </row>
        <row r="1531">
          <cell r="A1531">
            <v>469109</v>
          </cell>
          <cell r="G1531" t="str">
            <v>SD00062652</v>
          </cell>
        </row>
        <row r="1532">
          <cell r="A1532">
            <v>469110</v>
          </cell>
          <cell r="G1532" t="str">
            <v>SD00062627</v>
          </cell>
        </row>
        <row r="1533">
          <cell r="A1533">
            <v>469120</v>
          </cell>
          <cell r="G1533" t="str">
            <v>SD00062581</v>
          </cell>
        </row>
        <row r="1534">
          <cell r="A1534">
            <v>469111</v>
          </cell>
          <cell r="G1534" t="str">
            <v>SD00062628</v>
          </cell>
        </row>
        <row r="1535">
          <cell r="A1535">
            <v>469113</v>
          </cell>
          <cell r="G1535" t="str">
            <v>SD00062733</v>
          </cell>
        </row>
        <row r="1536">
          <cell r="A1536">
            <v>469107</v>
          </cell>
          <cell r="G1536" t="str">
            <v>SD00062630</v>
          </cell>
        </row>
        <row r="1537">
          <cell r="A1537">
            <v>469118</v>
          </cell>
          <cell r="G1537" t="str">
            <v>SD00062728</v>
          </cell>
        </row>
        <row r="1538">
          <cell r="A1538">
            <v>469116</v>
          </cell>
          <cell r="G1538" t="str">
            <v>SD00062730</v>
          </cell>
        </row>
        <row r="1539">
          <cell r="A1539">
            <v>4084012</v>
          </cell>
          <cell r="G1539" t="str">
            <v>CDA-0025632</v>
          </cell>
        </row>
        <row r="1540">
          <cell r="A1540">
            <v>1613574</v>
          </cell>
          <cell r="G1540" t="str">
            <v>UCR0083306</v>
          </cell>
        </row>
        <row r="1541">
          <cell r="A1541">
            <v>5776205</v>
          </cell>
          <cell r="G1541" t="str">
            <v>DAV243575</v>
          </cell>
        </row>
        <row r="1542">
          <cell r="A1542">
            <v>80367</v>
          </cell>
          <cell r="G1542" t="str">
            <v>SBBG213816</v>
          </cell>
        </row>
        <row r="1543">
          <cell r="A1543">
            <v>292533</v>
          </cell>
          <cell r="G1543" t="str">
            <v>UCSB038863</v>
          </cell>
        </row>
        <row r="1544">
          <cell r="A1544">
            <v>1201106</v>
          </cell>
        </row>
        <row r="1545">
          <cell r="A1545">
            <v>1607550</v>
          </cell>
          <cell r="G1545" t="str">
            <v>UCR0083382</v>
          </cell>
        </row>
        <row r="1546">
          <cell r="A1546">
            <v>2521638</v>
          </cell>
          <cell r="G1546">
            <v>174778</v>
          </cell>
        </row>
        <row r="1547">
          <cell r="A1547">
            <v>1615905</v>
          </cell>
          <cell r="G1547" t="str">
            <v>UCR0083385</v>
          </cell>
        </row>
        <row r="1548">
          <cell r="A1548">
            <v>1619773</v>
          </cell>
          <cell r="G1548" t="str">
            <v>UCR0083387</v>
          </cell>
        </row>
        <row r="1549">
          <cell r="A1549">
            <v>4095396</v>
          </cell>
          <cell r="G1549" t="str">
            <v>CDA-0023557</v>
          </cell>
        </row>
        <row r="1550">
          <cell r="A1550">
            <v>2146635</v>
          </cell>
          <cell r="G1550" t="str">
            <v>CHSC098874</v>
          </cell>
        </row>
        <row r="1551">
          <cell r="A1551">
            <v>3266093</v>
          </cell>
          <cell r="G1551" t="str">
            <v>JEPS114346</v>
          </cell>
        </row>
        <row r="1552">
          <cell r="A1552">
            <v>996141</v>
          </cell>
        </row>
        <row r="1553">
          <cell r="A1553">
            <v>1612297</v>
          </cell>
          <cell r="G1553" t="str">
            <v>UCR0083341</v>
          </cell>
        </row>
        <row r="1554">
          <cell r="A1554">
            <v>4076029</v>
          </cell>
          <cell r="G1554" t="str">
            <v>CDA-0007749</v>
          </cell>
        </row>
        <row r="1555">
          <cell r="A1555">
            <v>617784</v>
          </cell>
          <cell r="G1555" t="str">
            <v>SFV104582</v>
          </cell>
        </row>
        <row r="1556">
          <cell r="A1556">
            <v>469098</v>
          </cell>
          <cell r="G1556" t="str">
            <v>SD00062637</v>
          </cell>
        </row>
        <row r="1557">
          <cell r="A1557">
            <v>469124</v>
          </cell>
          <cell r="G1557" t="str">
            <v>SD00062787</v>
          </cell>
        </row>
        <row r="1558">
          <cell r="A1558">
            <v>469130</v>
          </cell>
          <cell r="G1558" t="str">
            <v>SD00062654</v>
          </cell>
        </row>
        <row r="1559">
          <cell r="A1559">
            <v>469121</v>
          </cell>
          <cell r="G1559" t="str">
            <v>SD00062651</v>
          </cell>
        </row>
        <row r="1560">
          <cell r="A1560">
            <v>469129</v>
          </cell>
          <cell r="G1560" t="str">
            <v>SD00062655</v>
          </cell>
        </row>
        <row r="1561">
          <cell r="A1561">
            <v>469097</v>
          </cell>
          <cell r="G1561" t="str">
            <v>SD00062636</v>
          </cell>
        </row>
        <row r="1562">
          <cell r="A1562">
            <v>469119</v>
          </cell>
          <cell r="G1562" t="str">
            <v>SD00062784</v>
          </cell>
        </row>
        <row r="1563">
          <cell r="A1563">
            <v>469125</v>
          </cell>
          <cell r="G1563" t="str">
            <v>SD00062683</v>
          </cell>
        </row>
        <row r="1564">
          <cell r="A1564">
            <v>469157</v>
          </cell>
          <cell r="G1564" t="str">
            <v>SD00062726</v>
          </cell>
        </row>
        <row r="1565">
          <cell r="A1565">
            <v>469103</v>
          </cell>
          <cell r="G1565" t="str">
            <v>SD00062631</v>
          </cell>
        </row>
        <row r="1566">
          <cell r="A1566">
            <v>469131</v>
          </cell>
          <cell r="G1566" t="str">
            <v>SD00062558</v>
          </cell>
        </row>
        <row r="1567">
          <cell r="A1567">
            <v>469106</v>
          </cell>
          <cell r="G1567" t="str">
            <v>SD00062786</v>
          </cell>
        </row>
        <row r="1568">
          <cell r="A1568">
            <v>4084283</v>
          </cell>
          <cell r="G1568" t="str">
            <v>CDA-0025212</v>
          </cell>
        </row>
        <row r="1569">
          <cell r="A1569">
            <v>1620243</v>
          </cell>
          <cell r="G1569" t="str">
            <v>UCR0083402</v>
          </cell>
        </row>
        <row r="1570">
          <cell r="A1570">
            <v>1616502</v>
          </cell>
          <cell r="G1570" t="str">
            <v>UCR0083381</v>
          </cell>
        </row>
        <row r="1571">
          <cell r="A1571">
            <v>651117</v>
          </cell>
        </row>
        <row r="1572">
          <cell r="A1572">
            <v>469148</v>
          </cell>
          <cell r="G1572" t="str">
            <v>SD00062571</v>
          </cell>
        </row>
        <row r="1573">
          <cell r="A1573">
            <v>1619748</v>
          </cell>
          <cell r="G1573" t="str">
            <v>UCR0083317</v>
          </cell>
        </row>
        <row r="1574">
          <cell r="A1574">
            <v>1623528</v>
          </cell>
          <cell r="G1574" t="str">
            <v>UCR0083388</v>
          </cell>
        </row>
        <row r="1575">
          <cell r="A1575">
            <v>1623574</v>
          </cell>
          <cell r="G1575" t="str">
            <v>UCR0111502</v>
          </cell>
        </row>
        <row r="1576">
          <cell r="A1576">
            <v>1635613</v>
          </cell>
          <cell r="G1576" t="str">
            <v>UCR0083332</v>
          </cell>
        </row>
        <row r="1577">
          <cell r="A1577">
            <v>2966793</v>
          </cell>
          <cell r="G1577" t="str">
            <v>YOSE225087</v>
          </cell>
        </row>
        <row r="1578">
          <cell r="A1578">
            <v>4095399</v>
          </cell>
          <cell r="G1578" t="str">
            <v>CDA-0030837</v>
          </cell>
        </row>
        <row r="1579">
          <cell r="A1579">
            <v>2134739</v>
          </cell>
          <cell r="G1579" t="str">
            <v>CHSC114899</v>
          </cell>
        </row>
        <row r="1580">
          <cell r="A1580">
            <v>469134</v>
          </cell>
          <cell r="G1580" t="str">
            <v>SD00062777</v>
          </cell>
        </row>
        <row r="1581">
          <cell r="A1581">
            <v>469127</v>
          </cell>
          <cell r="G1581" t="str">
            <v>SD00062657</v>
          </cell>
        </row>
        <row r="1582">
          <cell r="A1582">
            <v>469133</v>
          </cell>
          <cell r="G1582" t="str">
            <v>SD00062680</v>
          </cell>
        </row>
        <row r="1583">
          <cell r="A1583">
            <v>469128</v>
          </cell>
          <cell r="G1583" t="str">
            <v>SD00062656</v>
          </cell>
        </row>
        <row r="1584">
          <cell r="A1584">
            <v>469122</v>
          </cell>
          <cell r="G1584" t="str">
            <v>SD00062582</v>
          </cell>
        </row>
        <row r="1585">
          <cell r="A1585">
            <v>469150</v>
          </cell>
          <cell r="G1585" t="str">
            <v>SD00062704</v>
          </cell>
        </row>
        <row r="1586">
          <cell r="A1586">
            <v>469123</v>
          </cell>
          <cell r="G1586" t="str">
            <v>SD00062583</v>
          </cell>
        </row>
        <row r="1587">
          <cell r="A1587">
            <v>1653991</v>
          </cell>
          <cell r="G1587" t="str">
            <v>UCR0083357</v>
          </cell>
        </row>
        <row r="1588">
          <cell r="A1588">
            <v>1895626</v>
          </cell>
          <cell r="G1588" t="str">
            <v>UCSB041178</v>
          </cell>
        </row>
        <row r="1589">
          <cell r="A1589">
            <v>1336457</v>
          </cell>
          <cell r="G1589" t="str">
            <v>DAV300678</v>
          </cell>
        </row>
        <row r="1590">
          <cell r="A1590">
            <v>1336458</v>
          </cell>
          <cell r="G1590" t="str">
            <v>DAV310437</v>
          </cell>
        </row>
        <row r="1591">
          <cell r="A1591">
            <v>4095379</v>
          </cell>
          <cell r="G1591" t="str">
            <v>CDA-0034530</v>
          </cell>
        </row>
        <row r="1592">
          <cell r="A1592">
            <v>1650071</v>
          </cell>
          <cell r="G1592" t="str">
            <v>UCR0083320</v>
          </cell>
        </row>
        <row r="1593">
          <cell r="A1593">
            <v>1660267</v>
          </cell>
          <cell r="G1593" t="str">
            <v>UCR0083319</v>
          </cell>
        </row>
        <row r="1594">
          <cell r="A1594">
            <v>1635523</v>
          </cell>
          <cell r="G1594" t="str">
            <v>UCR0083316</v>
          </cell>
        </row>
        <row r="1595">
          <cell r="A1595">
            <v>1038144</v>
          </cell>
          <cell r="G1595" t="str">
            <v>RSA0088406</v>
          </cell>
        </row>
        <row r="1596">
          <cell r="A1596">
            <v>693888</v>
          </cell>
          <cell r="G1596" t="str">
            <v>RSA0081376</v>
          </cell>
        </row>
        <row r="1597">
          <cell r="A1597">
            <v>922570</v>
          </cell>
          <cell r="G1597" t="str">
            <v>RSA0081381</v>
          </cell>
        </row>
        <row r="1598">
          <cell r="A1598">
            <v>1675351</v>
          </cell>
          <cell r="G1598" t="str">
            <v>UCR0083329</v>
          </cell>
        </row>
        <row r="1599">
          <cell r="A1599">
            <v>1676594</v>
          </cell>
          <cell r="G1599" t="str">
            <v>UCR0083326</v>
          </cell>
        </row>
        <row r="1600">
          <cell r="A1600">
            <v>1630048</v>
          </cell>
          <cell r="G1600" t="str">
            <v>UCR0083330</v>
          </cell>
        </row>
        <row r="1601">
          <cell r="A1601">
            <v>1675373</v>
          </cell>
          <cell r="G1601" t="str">
            <v>UCR0083327</v>
          </cell>
        </row>
        <row r="1602">
          <cell r="A1602">
            <v>1675381</v>
          </cell>
          <cell r="G1602" t="str">
            <v>UCR0083328</v>
          </cell>
        </row>
        <row r="1603">
          <cell r="A1603">
            <v>469137</v>
          </cell>
          <cell r="G1603" t="str">
            <v>SD00062707</v>
          </cell>
        </row>
        <row r="1604">
          <cell r="A1604">
            <v>469170</v>
          </cell>
          <cell r="G1604" t="str">
            <v>SD00062780</v>
          </cell>
        </row>
        <row r="1605">
          <cell r="A1605">
            <v>393682</v>
          </cell>
          <cell r="G1605" t="str">
            <v>SDSU19512</v>
          </cell>
        </row>
        <row r="1606">
          <cell r="A1606">
            <v>4095410</v>
          </cell>
          <cell r="G1606" t="str">
            <v>CDA-0043867</v>
          </cell>
        </row>
        <row r="1607">
          <cell r="A1607">
            <v>4095411</v>
          </cell>
          <cell r="G1607" t="str">
            <v>CDA-0043873</v>
          </cell>
        </row>
        <row r="1608">
          <cell r="A1608">
            <v>4095401</v>
          </cell>
          <cell r="G1608" t="str">
            <v>CDA-0034482</v>
          </cell>
        </row>
        <row r="1609">
          <cell r="A1609">
            <v>1660287</v>
          </cell>
          <cell r="G1609" t="str">
            <v>UCR0083406</v>
          </cell>
        </row>
        <row r="1610">
          <cell r="A1610">
            <v>1660296</v>
          </cell>
          <cell r="G1610" t="str">
            <v>UCR0083405</v>
          </cell>
        </row>
        <row r="1611">
          <cell r="A1611">
            <v>147598</v>
          </cell>
          <cell r="G1611" t="str">
            <v>SBBG213846</v>
          </cell>
        </row>
        <row r="1612">
          <cell r="A1612">
            <v>407313</v>
          </cell>
          <cell r="G1612" t="str">
            <v>SBBG213845</v>
          </cell>
        </row>
        <row r="1613">
          <cell r="A1613">
            <v>3700296</v>
          </cell>
          <cell r="G1613" t="str">
            <v>SD00030202</v>
          </cell>
        </row>
        <row r="1614">
          <cell r="A1614">
            <v>4095398</v>
          </cell>
          <cell r="G1614" t="str">
            <v>CDA-0030836</v>
          </cell>
        </row>
        <row r="1615">
          <cell r="A1615">
            <v>1652556</v>
          </cell>
          <cell r="G1615" t="str">
            <v>UCR0083390</v>
          </cell>
        </row>
        <row r="1616">
          <cell r="A1616">
            <v>613793</v>
          </cell>
          <cell r="G1616" t="str">
            <v>SFV104581</v>
          </cell>
        </row>
        <row r="1617">
          <cell r="A1617">
            <v>1679520</v>
          </cell>
          <cell r="G1617" t="str">
            <v>UCR0083395</v>
          </cell>
        </row>
        <row r="1618">
          <cell r="A1618">
            <v>1695490</v>
          </cell>
          <cell r="G1618" t="str">
            <v>UCR0083350</v>
          </cell>
        </row>
        <row r="1619">
          <cell r="A1619">
            <v>469151</v>
          </cell>
          <cell r="G1619" t="str">
            <v>SD00062705</v>
          </cell>
        </row>
        <row r="1620">
          <cell r="A1620">
            <v>469135</v>
          </cell>
          <cell r="G1620" t="str">
            <v>SD00062557</v>
          </cell>
        </row>
        <row r="1621">
          <cell r="A1621">
            <v>469162</v>
          </cell>
          <cell r="G1621" t="str">
            <v>SD00062699</v>
          </cell>
        </row>
        <row r="1622">
          <cell r="A1622">
            <v>469141</v>
          </cell>
          <cell r="G1622" t="str">
            <v>SD00062773</v>
          </cell>
        </row>
        <row r="1623">
          <cell r="A1623">
            <v>469142</v>
          </cell>
          <cell r="G1623" t="str">
            <v>SD00062772</v>
          </cell>
        </row>
        <row r="1624">
          <cell r="A1624">
            <v>469161</v>
          </cell>
          <cell r="G1624" t="str">
            <v>SD00062700</v>
          </cell>
        </row>
        <row r="1625">
          <cell r="A1625">
            <v>1648787</v>
          </cell>
          <cell r="G1625" t="str">
            <v>UCR0083400</v>
          </cell>
        </row>
        <row r="1626">
          <cell r="A1626">
            <v>235906</v>
          </cell>
          <cell r="G1626" t="str">
            <v>UCSC100000697</v>
          </cell>
        </row>
        <row r="1627">
          <cell r="A1627">
            <v>236400</v>
          </cell>
          <cell r="G1627" t="str">
            <v>UCSC100000698</v>
          </cell>
        </row>
        <row r="1628">
          <cell r="A1628">
            <v>4095403</v>
          </cell>
          <cell r="G1628" t="str">
            <v>CDA-0035919</v>
          </cell>
        </row>
        <row r="1629">
          <cell r="A1629">
            <v>1652583</v>
          </cell>
          <cell r="G1629" t="str">
            <v>UCR0083380</v>
          </cell>
        </row>
        <row r="1630">
          <cell r="A1630">
            <v>2132998</v>
          </cell>
          <cell r="G1630" t="str">
            <v>CHSC111394</v>
          </cell>
        </row>
        <row r="1631">
          <cell r="A1631">
            <v>1654256</v>
          </cell>
          <cell r="G1631" t="str">
            <v>UCR0083383</v>
          </cell>
        </row>
        <row r="1632">
          <cell r="A1632">
            <v>1655320</v>
          </cell>
          <cell r="G1632" t="str">
            <v>UCR0083384</v>
          </cell>
        </row>
        <row r="1633">
          <cell r="A1633">
            <v>1655697</v>
          </cell>
          <cell r="G1633" t="str">
            <v>UCR0083391</v>
          </cell>
        </row>
        <row r="1634">
          <cell r="A1634">
            <v>5967039</v>
          </cell>
          <cell r="G1634" t="str">
            <v>SBBG245291</v>
          </cell>
        </row>
        <row r="1635">
          <cell r="A1635">
            <v>3774848</v>
          </cell>
          <cell r="G1635" t="str">
            <v>SD00033973</v>
          </cell>
        </row>
        <row r="1636">
          <cell r="A1636">
            <v>3774849</v>
          </cell>
          <cell r="G1636" t="str">
            <v>SD00033974</v>
          </cell>
        </row>
        <row r="1637">
          <cell r="A1637">
            <v>1372819</v>
          </cell>
          <cell r="G1637" t="str">
            <v>DAV300679</v>
          </cell>
        </row>
        <row r="1638">
          <cell r="A1638">
            <v>1670844</v>
          </cell>
          <cell r="G1638" t="str">
            <v>UCR0083311</v>
          </cell>
        </row>
        <row r="1639">
          <cell r="A1639">
            <v>1654175</v>
          </cell>
          <cell r="G1639" t="str">
            <v>UCR0083397</v>
          </cell>
        </row>
        <row r="1640">
          <cell r="A1640">
            <v>4095409</v>
          </cell>
          <cell r="G1640" t="str">
            <v>CDA-0043702</v>
          </cell>
        </row>
        <row r="1641">
          <cell r="A1641">
            <v>469164</v>
          </cell>
          <cell r="G1641" t="str">
            <v>SD00062697</v>
          </cell>
        </row>
        <row r="1642">
          <cell r="A1642">
            <v>469174</v>
          </cell>
          <cell r="G1642" t="str">
            <v>SD00062723</v>
          </cell>
        </row>
        <row r="1643">
          <cell r="A1643">
            <v>469165</v>
          </cell>
          <cell r="G1643" t="str">
            <v>SD00062696</v>
          </cell>
        </row>
        <row r="1644">
          <cell r="A1644">
            <v>469175</v>
          </cell>
          <cell r="G1644" t="str">
            <v>SD00062722</v>
          </cell>
        </row>
        <row r="1645">
          <cell r="A1645">
            <v>469136</v>
          </cell>
          <cell r="G1645" t="str">
            <v>SD00062776</v>
          </cell>
        </row>
        <row r="1646">
          <cell r="A1646">
            <v>469138</v>
          </cell>
          <cell r="G1646" t="str">
            <v>SD00062775</v>
          </cell>
        </row>
        <row r="1647">
          <cell r="A1647">
            <v>469163</v>
          </cell>
          <cell r="G1647" t="str">
            <v>SD00062698</v>
          </cell>
        </row>
        <row r="1648">
          <cell r="A1648">
            <v>469173</v>
          </cell>
          <cell r="G1648" t="str">
            <v>SD00062724</v>
          </cell>
        </row>
        <row r="1649">
          <cell r="A1649">
            <v>469160</v>
          </cell>
          <cell r="G1649" t="str">
            <v>SD00062701</v>
          </cell>
        </row>
        <row r="1650">
          <cell r="A1650">
            <v>469139</v>
          </cell>
          <cell r="G1650" t="str">
            <v>SD00062706</v>
          </cell>
        </row>
        <row r="1651">
          <cell r="A1651">
            <v>469143</v>
          </cell>
          <cell r="G1651" t="str">
            <v>SD00062556</v>
          </cell>
        </row>
        <row r="1652">
          <cell r="A1652">
            <v>469140</v>
          </cell>
          <cell r="G1652" t="str">
            <v>SD00062774</v>
          </cell>
        </row>
        <row r="1653">
          <cell r="A1653">
            <v>469144</v>
          </cell>
          <cell r="G1653" t="str">
            <v>SD00062649</v>
          </cell>
        </row>
        <row r="1654">
          <cell r="A1654">
            <v>469156</v>
          </cell>
          <cell r="G1654" t="str">
            <v>SD00062769</v>
          </cell>
        </row>
        <row r="1655">
          <cell r="A1655">
            <v>394122</v>
          </cell>
          <cell r="G1655" t="str">
            <v>SDSU19952</v>
          </cell>
        </row>
        <row r="1656">
          <cell r="A1656">
            <v>394165</v>
          </cell>
          <cell r="G1656" t="str">
            <v>SDSU19995</v>
          </cell>
        </row>
        <row r="1657">
          <cell r="A1657">
            <v>1655769</v>
          </cell>
          <cell r="G1657" t="str">
            <v>UCR0083356</v>
          </cell>
        </row>
        <row r="1658">
          <cell r="A1658">
            <v>1667093</v>
          </cell>
          <cell r="G1658" t="str">
            <v>UCR0083355</v>
          </cell>
        </row>
        <row r="1659">
          <cell r="A1659">
            <v>236700</v>
          </cell>
          <cell r="G1659" t="str">
            <v>UCSC100000689</v>
          </cell>
        </row>
        <row r="1660">
          <cell r="A1660">
            <v>1654191</v>
          </cell>
          <cell r="G1660" t="str">
            <v>UCR0083379</v>
          </cell>
        </row>
        <row r="1661">
          <cell r="A1661">
            <v>1654228</v>
          </cell>
          <cell r="G1661" t="str">
            <v>UCR0083408</v>
          </cell>
        </row>
        <row r="1662">
          <cell r="A1662">
            <v>1654238</v>
          </cell>
          <cell r="G1662" t="str">
            <v>UCR0083407</v>
          </cell>
        </row>
        <row r="1663">
          <cell r="A1663">
            <v>4058869</v>
          </cell>
          <cell r="G1663">
            <v>65350</v>
          </cell>
        </row>
        <row r="1664">
          <cell r="A1664">
            <v>469177</v>
          </cell>
          <cell r="G1664" t="str">
            <v>SD00062805</v>
          </cell>
        </row>
        <row r="1665">
          <cell r="A1665">
            <v>1673929</v>
          </cell>
          <cell r="G1665" t="str">
            <v>UCR0083431</v>
          </cell>
        </row>
        <row r="1666">
          <cell r="A1666">
            <v>1671045</v>
          </cell>
          <cell r="G1666" t="str">
            <v>UCR0083389</v>
          </cell>
        </row>
        <row r="1667">
          <cell r="A1667">
            <v>2133518</v>
          </cell>
          <cell r="G1667" t="str">
            <v>CHSC112304</v>
          </cell>
        </row>
        <row r="1668">
          <cell r="A1668">
            <v>469145</v>
          </cell>
          <cell r="G1668" t="str">
            <v>SD00062653</v>
          </cell>
        </row>
        <row r="1669">
          <cell r="A1669">
            <v>469147</v>
          </cell>
          <cell r="G1669" t="str">
            <v>SD00062650</v>
          </cell>
        </row>
        <row r="1670">
          <cell r="A1670">
            <v>1669580</v>
          </cell>
          <cell r="G1670" t="str">
            <v>UCR0083354</v>
          </cell>
        </row>
        <row r="1671">
          <cell r="A1671">
            <v>236311</v>
          </cell>
          <cell r="G1671" t="str">
            <v>UCSC100000688</v>
          </cell>
        </row>
        <row r="1672">
          <cell r="A1672">
            <v>1392578</v>
          </cell>
          <cell r="G1672" t="str">
            <v>DAV310393</v>
          </cell>
        </row>
        <row r="1673">
          <cell r="A1673">
            <v>1666111</v>
          </cell>
          <cell r="G1673" t="str">
            <v>UCR0083378</v>
          </cell>
        </row>
        <row r="1674">
          <cell r="A1674">
            <v>1667960</v>
          </cell>
          <cell r="G1674" t="str">
            <v>UCR0083377</v>
          </cell>
        </row>
        <row r="1675">
          <cell r="A1675">
            <v>3798671</v>
          </cell>
          <cell r="G1675" t="str">
            <v>OBI173151</v>
          </cell>
        </row>
        <row r="1676">
          <cell r="A1676">
            <v>1674937</v>
          </cell>
          <cell r="G1676" t="str">
            <v>UCR0083409</v>
          </cell>
        </row>
        <row r="1677">
          <cell r="A1677">
            <v>1687752</v>
          </cell>
          <cell r="G1677" t="str">
            <v>UCR0083318</v>
          </cell>
        </row>
        <row r="1678">
          <cell r="A1678">
            <v>950503</v>
          </cell>
          <cell r="G1678" t="str">
            <v>RSA0115435</v>
          </cell>
        </row>
        <row r="1679">
          <cell r="A1679">
            <v>1674028</v>
          </cell>
          <cell r="G1679" t="str">
            <v>UCR0083386</v>
          </cell>
        </row>
        <row r="1680">
          <cell r="A1680">
            <v>469158</v>
          </cell>
          <cell r="G1680" t="str">
            <v>SD00062804</v>
          </cell>
        </row>
        <row r="1681">
          <cell r="A1681">
            <v>1671160</v>
          </cell>
          <cell r="G1681" t="str">
            <v>UCR0083398</v>
          </cell>
        </row>
        <row r="1682">
          <cell r="A1682">
            <v>790470</v>
          </cell>
          <cell r="G1682" t="str">
            <v>RSA0041564</v>
          </cell>
        </row>
        <row r="1683">
          <cell r="A1683">
            <v>469153</v>
          </cell>
          <cell r="G1683" t="str">
            <v>SD00062703</v>
          </cell>
        </row>
        <row r="1684">
          <cell r="A1684">
            <v>469152</v>
          </cell>
          <cell r="G1684" t="str">
            <v>SD00062702</v>
          </cell>
        </row>
        <row r="1685">
          <cell r="A1685">
            <v>469154</v>
          </cell>
          <cell r="G1685" t="str">
            <v>SD00062771</v>
          </cell>
        </row>
        <row r="1686">
          <cell r="A1686">
            <v>469171</v>
          </cell>
          <cell r="G1686" t="str">
            <v>SD00062779</v>
          </cell>
        </row>
        <row r="1687">
          <cell r="A1687">
            <v>469155</v>
          </cell>
          <cell r="G1687" t="str">
            <v>SD00062770</v>
          </cell>
        </row>
        <row r="1688">
          <cell r="A1688">
            <v>469169</v>
          </cell>
          <cell r="G1688" t="str">
            <v>SD00062781</v>
          </cell>
        </row>
        <row r="1689">
          <cell r="A1689">
            <v>395477</v>
          </cell>
          <cell r="G1689" t="str">
            <v>SDSU21495</v>
          </cell>
        </row>
        <row r="1690">
          <cell r="A1690">
            <v>1671086</v>
          </cell>
          <cell r="G1690" t="str">
            <v>UCR0083401</v>
          </cell>
        </row>
        <row r="1691">
          <cell r="A1691">
            <v>2252335</v>
          </cell>
          <cell r="G1691" t="str">
            <v>OBI145924</v>
          </cell>
        </row>
        <row r="1692">
          <cell r="A1692">
            <v>4620146</v>
          </cell>
        </row>
        <row r="1693">
          <cell r="A1693">
            <v>4095412</v>
          </cell>
          <cell r="G1693" t="str">
            <v>CDA-0045392</v>
          </cell>
        </row>
        <row r="1694">
          <cell r="A1694">
            <v>469178</v>
          </cell>
          <cell r="G1694" t="str">
            <v>SD00062803</v>
          </cell>
        </row>
        <row r="1695">
          <cell r="A1695">
            <v>1674069</v>
          </cell>
          <cell r="G1695" t="str">
            <v>UCR0083376</v>
          </cell>
        </row>
        <row r="1696">
          <cell r="A1696">
            <v>18974</v>
          </cell>
        </row>
        <row r="1697">
          <cell r="A1697">
            <v>3840150</v>
          </cell>
          <cell r="G1697" t="str">
            <v>RSA0178047</v>
          </cell>
        </row>
        <row r="1698">
          <cell r="A1698">
            <v>1430242</v>
          </cell>
          <cell r="G1698" t="str">
            <v>SBBG213819</v>
          </cell>
        </row>
        <row r="1699">
          <cell r="A1699">
            <v>3841582</v>
          </cell>
          <cell r="G1699" t="str">
            <v>RSA0196618</v>
          </cell>
        </row>
        <row r="1700">
          <cell r="A1700">
            <v>84127</v>
          </cell>
          <cell r="G1700" t="str">
            <v>SBBG155399</v>
          </cell>
        </row>
        <row r="1701">
          <cell r="A1701">
            <v>3700295</v>
          </cell>
          <cell r="G1701" t="str">
            <v>SD00030201</v>
          </cell>
        </row>
        <row r="1702">
          <cell r="A1702">
            <v>3591679</v>
          </cell>
          <cell r="G1702" t="str">
            <v>UCR0083304</v>
          </cell>
        </row>
        <row r="1703">
          <cell r="A1703">
            <v>2763913</v>
          </cell>
          <cell r="G1703">
            <v>532999</v>
          </cell>
        </row>
        <row r="1704">
          <cell r="A1704">
            <v>238791</v>
          </cell>
          <cell r="G1704" t="str">
            <v>UCSC100000690</v>
          </cell>
        </row>
        <row r="1705">
          <cell r="A1705">
            <v>1399259</v>
          </cell>
          <cell r="G1705" t="str">
            <v>DAV310441</v>
          </cell>
        </row>
        <row r="1706">
          <cell r="A1706">
            <v>1399260</v>
          </cell>
          <cell r="G1706" t="str">
            <v>DAV310442</v>
          </cell>
        </row>
        <row r="1707">
          <cell r="A1707">
            <v>1399261</v>
          </cell>
          <cell r="G1707" t="str">
            <v>DAV310443</v>
          </cell>
        </row>
        <row r="1708">
          <cell r="A1708">
            <v>1399262</v>
          </cell>
          <cell r="G1708" t="str">
            <v>DAV310444</v>
          </cell>
        </row>
        <row r="1709">
          <cell r="A1709">
            <v>5329933</v>
          </cell>
          <cell r="G1709" t="str">
            <v>GMDRC7837</v>
          </cell>
        </row>
        <row r="1710">
          <cell r="A1710">
            <v>5330424</v>
          </cell>
          <cell r="G1710" t="str">
            <v>GMDRC7833</v>
          </cell>
        </row>
        <row r="1711">
          <cell r="A1711">
            <v>3808605</v>
          </cell>
          <cell r="G1711" t="str">
            <v>RSA0146497</v>
          </cell>
        </row>
        <row r="1712">
          <cell r="A1712">
            <v>3805929</v>
          </cell>
          <cell r="G1712" t="str">
            <v>RSA0141056</v>
          </cell>
        </row>
        <row r="1713">
          <cell r="A1713">
            <v>1191094</v>
          </cell>
          <cell r="G1713" t="str">
            <v>RSA0010464</v>
          </cell>
        </row>
        <row r="1714">
          <cell r="A1714">
            <v>469179</v>
          </cell>
          <cell r="G1714" t="str">
            <v>SD00058219</v>
          </cell>
        </row>
        <row r="1715">
          <cell r="A1715">
            <v>469159</v>
          </cell>
          <cell r="G1715" t="str">
            <v>SD00062578</v>
          </cell>
        </row>
        <row r="1716">
          <cell r="A1716">
            <v>4620471</v>
          </cell>
        </row>
        <row r="1717">
          <cell r="A1717">
            <v>4621000</v>
          </cell>
        </row>
        <row r="1718">
          <cell r="A1718">
            <v>131645</v>
          </cell>
          <cell r="G1718" t="str">
            <v>SBBG187496</v>
          </cell>
        </row>
        <row r="1719">
          <cell r="A1719">
            <v>1031022</v>
          </cell>
          <cell r="G1719" t="str">
            <v>RSA0061147</v>
          </cell>
        </row>
        <row r="1720">
          <cell r="A1720">
            <v>1002700</v>
          </cell>
          <cell r="G1720" t="str">
            <v>RSA0140267</v>
          </cell>
        </row>
        <row r="1721">
          <cell r="A1721">
            <v>124275</v>
          </cell>
          <cell r="G1721" t="str">
            <v>SBBG213850</v>
          </cell>
        </row>
        <row r="1722">
          <cell r="A1722">
            <v>81912</v>
          </cell>
          <cell r="G1722" t="str">
            <v>SBBG213849</v>
          </cell>
        </row>
        <row r="1723">
          <cell r="A1723">
            <v>95043</v>
          </cell>
          <cell r="G1723" t="str">
            <v>SBBG213848</v>
          </cell>
        </row>
        <row r="1724">
          <cell r="A1724">
            <v>3349335</v>
          </cell>
          <cell r="G1724" t="str">
            <v>JEPS127092</v>
          </cell>
        </row>
        <row r="1725">
          <cell r="A1725">
            <v>4095413</v>
          </cell>
          <cell r="G1725" t="str">
            <v>CDA-0049115</v>
          </cell>
        </row>
        <row r="1726">
          <cell r="A1726">
            <v>4095383</v>
          </cell>
          <cell r="G1726" t="str">
            <v>CDA-0049158</v>
          </cell>
        </row>
        <row r="1727">
          <cell r="A1727">
            <v>4095384</v>
          </cell>
          <cell r="G1727" t="str">
            <v>CDA-0049159</v>
          </cell>
        </row>
        <row r="1728">
          <cell r="A1728">
            <v>5509705</v>
          </cell>
          <cell r="G1728" t="str">
            <v>UC2082406</v>
          </cell>
        </row>
        <row r="1729">
          <cell r="A1729">
            <v>3815086</v>
          </cell>
          <cell r="G1729" t="str">
            <v>RSA0150929</v>
          </cell>
        </row>
        <row r="1730">
          <cell r="A1730">
            <v>469176</v>
          </cell>
          <cell r="G1730" t="str">
            <v>SD00062725</v>
          </cell>
        </row>
        <row r="1731">
          <cell r="A1731">
            <v>395628</v>
          </cell>
          <cell r="G1731" t="str">
            <v>SDSU21677</v>
          </cell>
        </row>
        <row r="1732">
          <cell r="A1732">
            <v>3612758</v>
          </cell>
        </row>
        <row r="1733">
          <cell r="A1733">
            <v>3612756</v>
          </cell>
        </row>
        <row r="1734">
          <cell r="A1734">
            <v>3611826</v>
          </cell>
        </row>
        <row r="1735">
          <cell r="A1735">
            <v>3612202</v>
          </cell>
        </row>
        <row r="1736">
          <cell r="A1736">
            <v>216778</v>
          </cell>
          <cell r="G1736" t="str">
            <v>OBI101740</v>
          </cell>
        </row>
        <row r="1737">
          <cell r="A1737">
            <v>3612238</v>
          </cell>
        </row>
        <row r="1738">
          <cell r="A1738">
            <v>3611474</v>
          </cell>
        </row>
        <row r="1739">
          <cell r="A1739">
            <v>3612398</v>
          </cell>
        </row>
        <row r="1740">
          <cell r="A1740">
            <v>3612391</v>
          </cell>
        </row>
        <row r="1741">
          <cell r="A1741">
            <v>684420</v>
          </cell>
          <cell r="G1741" t="str">
            <v>RSA0117958</v>
          </cell>
        </row>
        <row r="1742">
          <cell r="A1742">
            <v>3669165</v>
          </cell>
          <cell r="G1742" t="str">
            <v>HSC232306</v>
          </cell>
        </row>
        <row r="1743">
          <cell r="A1743">
            <v>1699178</v>
          </cell>
          <cell r="G1743" t="str">
            <v>UCR0083323</v>
          </cell>
        </row>
        <row r="1744">
          <cell r="A1744">
            <v>3963072</v>
          </cell>
          <cell r="G1744" t="str">
            <v>SD00039725</v>
          </cell>
        </row>
        <row r="1745">
          <cell r="A1745">
            <v>3620051</v>
          </cell>
          <cell r="G1745" t="str">
            <v>SD00025459</v>
          </cell>
        </row>
        <row r="1746">
          <cell r="A1746">
            <v>3113069</v>
          </cell>
          <cell r="G1746" t="str">
            <v>SD00023693</v>
          </cell>
        </row>
        <row r="1747">
          <cell r="A1747">
            <v>3700299</v>
          </cell>
          <cell r="G1747" t="str">
            <v>SD00029907</v>
          </cell>
        </row>
        <row r="1748">
          <cell r="A1748">
            <v>3113067</v>
          </cell>
          <cell r="G1748" t="str">
            <v>SD00023691</v>
          </cell>
        </row>
        <row r="1749">
          <cell r="A1749">
            <v>3700298</v>
          </cell>
          <cell r="G1749" t="str">
            <v>SD00029906</v>
          </cell>
        </row>
        <row r="1750">
          <cell r="A1750">
            <v>3113068</v>
          </cell>
          <cell r="G1750" t="str">
            <v>SD00023692</v>
          </cell>
        </row>
        <row r="1751">
          <cell r="A1751">
            <v>4095415</v>
          </cell>
          <cell r="G1751" t="str">
            <v>CDA-0049955</v>
          </cell>
        </row>
        <row r="1752">
          <cell r="A1752">
            <v>4095414</v>
          </cell>
          <cell r="G1752" t="str">
            <v>CDA-0049892</v>
          </cell>
        </row>
        <row r="1753">
          <cell r="A1753">
            <v>4562413</v>
          </cell>
          <cell r="G1753" t="str">
            <v>OBI148565</v>
          </cell>
        </row>
        <row r="1754">
          <cell r="A1754">
            <v>3964300</v>
          </cell>
          <cell r="G1754" t="str">
            <v>UCSB044460</v>
          </cell>
        </row>
        <row r="1755">
          <cell r="A1755">
            <v>4064867</v>
          </cell>
          <cell r="G1755" t="str">
            <v>UCSB050386</v>
          </cell>
        </row>
        <row r="1756">
          <cell r="A1756">
            <v>215180</v>
          </cell>
          <cell r="G1756" t="str">
            <v>OBI101741</v>
          </cell>
        </row>
        <row r="1757">
          <cell r="A1757">
            <v>3617268</v>
          </cell>
        </row>
        <row r="1758">
          <cell r="A1758">
            <v>3617348</v>
          </cell>
        </row>
        <row r="1759">
          <cell r="A1759">
            <v>4074850</v>
          </cell>
          <cell r="G1759" t="str">
            <v>CDA-0047964</v>
          </cell>
        </row>
        <row r="1760">
          <cell r="A1760">
            <v>4074851</v>
          </cell>
          <cell r="G1760" t="str">
            <v>CDA-0047965</v>
          </cell>
        </row>
        <row r="1761">
          <cell r="A1761">
            <v>4074852</v>
          </cell>
          <cell r="G1761" t="str">
            <v>CDA-0047966</v>
          </cell>
        </row>
        <row r="1762">
          <cell r="A1762">
            <v>1702201</v>
          </cell>
          <cell r="G1762" t="str">
            <v>UCR0083315</v>
          </cell>
        </row>
        <row r="1763">
          <cell r="A1763">
            <v>4075140</v>
          </cell>
        </row>
        <row r="1764">
          <cell r="A1764">
            <v>5563117</v>
          </cell>
          <cell r="G1764" t="str">
            <v>LOB107937</v>
          </cell>
        </row>
        <row r="1765">
          <cell r="A1765">
            <v>5561921</v>
          </cell>
          <cell r="G1765" t="str">
            <v>LOB107913</v>
          </cell>
        </row>
        <row r="1766">
          <cell r="A1766">
            <v>3771777</v>
          </cell>
          <cell r="G1766" t="str">
            <v>SBBG174263</v>
          </cell>
        </row>
        <row r="1767">
          <cell r="A1767">
            <v>2890234</v>
          </cell>
          <cell r="G1767" t="str">
            <v>SD00021403</v>
          </cell>
        </row>
        <row r="1768">
          <cell r="A1768">
            <v>4085847</v>
          </cell>
        </row>
        <row r="1769">
          <cell r="A1769">
            <v>4085988</v>
          </cell>
        </row>
        <row r="1770">
          <cell r="A1770">
            <v>239858</v>
          </cell>
        </row>
        <row r="1771">
          <cell r="A1771">
            <v>239881</v>
          </cell>
        </row>
        <row r="1772">
          <cell r="A1772">
            <v>239908</v>
          </cell>
        </row>
        <row r="1773">
          <cell r="A1773">
            <v>239971</v>
          </cell>
        </row>
        <row r="1774">
          <cell r="A1774">
            <v>239984</v>
          </cell>
        </row>
        <row r="1775">
          <cell r="A1775">
            <v>240008</v>
          </cell>
        </row>
        <row r="1776">
          <cell r="A1776">
            <v>240030</v>
          </cell>
        </row>
        <row r="1777">
          <cell r="A1777">
            <v>240045</v>
          </cell>
        </row>
        <row r="1778">
          <cell r="A1778">
            <v>240048</v>
          </cell>
        </row>
        <row r="1779">
          <cell r="A1779">
            <v>240097</v>
          </cell>
        </row>
        <row r="1780">
          <cell r="A1780">
            <v>240297</v>
          </cell>
        </row>
        <row r="1781">
          <cell r="A1781">
            <v>240127</v>
          </cell>
        </row>
        <row r="1782">
          <cell r="A1782">
            <v>240327</v>
          </cell>
        </row>
        <row r="1783">
          <cell r="A1783">
            <v>240160</v>
          </cell>
        </row>
        <row r="1784">
          <cell r="A1784">
            <v>240360</v>
          </cell>
        </row>
        <row r="1785">
          <cell r="A1785">
            <v>240188</v>
          </cell>
        </row>
        <row r="1786">
          <cell r="A1786">
            <v>240388</v>
          </cell>
        </row>
        <row r="1787">
          <cell r="A1787">
            <v>240208</v>
          </cell>
        </row>
        <row r="1788">
          <cell r="A1788">
            <v>240408</v>
          </cell>
        </row>
        <row r="1789">
          <cell r="A1789">
            <v>240217</v>
          </cell>
        </row>
        <row r="1790">
          <cell r="A1790">
            <v>240417</v>
          </cell>
        </row>
        <row r="1791">
          <cell r="A1791">
            <v>240225</v>
          </cell>
        </row>
        <row r="1792">
          <cell r="A1792">
            <v>240425</v>
          </cell>
        </row>
        <row r="1793">
          <cell r="A1793">
            <v>240237</v>
          </cell>
        </row>
        <row r="1794">
          <cell r="A1794">
            <v>240437</v>
          </cell>
        </row>
        <row r="1795">
          <cell r="A1795">
            <v>240241</v>
          </cell>
        </row>
        <row r="1796">
          <cell r="A1796">
            <v>240441</v>
          </cell>
        </row>
        <row r="1797">
          <cell r="A1797">
            <v>3618225</v>
          </cell>
        </row>
        <row r="1798">
          <cell r="A1798">
            <v>3618669</v>
          </cell>
        </row>
        <row r="1799">
          <cell r="A1799">
            <v>3828689</v>
          </cell>
          <cell r="G1799" t="str">
            <v>CHSC122361</v>
          </cell>
        </row>
        <row r="1800">
          <cell r="A1800">
            <v>2963303</v>
          </cell>
          <cell r="G1800" t="str">
            <v>DAV325632</v>
          </cell>
        </row>
        <row r="1801">
          <cell r="A1801">
            <v>5732610</v>
          </cell>
          <cell r="G1801" t="str">
            <v>LOB102272</v>
          </cell>
        </row>
        <row r="1802">
          <cell r="A1802">
            <v>6014478</v>
          </cell>
          <cell r="G1802" t="str">
            <v>SD00087803</v>
          </cell>
        </row>
        <row r="1803">
          <cell r="A1803">
            <v>3123760</v>
          </cell>
          <cell r="G1803" t="str">
            <v>LOB102260</v>
          </cell>
        </row>
        <row r="1804">
          <cell r="A1804">
            <v>5800340</v>
          </cell>
          <cell r="G1804" t="str">
            <v>RSA0508289</v>
          </cell>
        </row>
        <row r="1805">
          <cell r="A1805">
            <v>3963071</v>
          </cell>
          <cell r="G1805" t="str">
            <v>SD00039724</v>
          </cell>
        </row>
        <row r="1806">
          <cell r="A1806">
            <v>3751457</v>
          </cell>
          <cell r="G1806" t="str">
            <v>SD00033054</v>
          </cell>
        </row>
        <row r="1807">
          <cell r="A1807">
            <v>3630484</v>
          </cell>
          <cell r="G1807" t="str">
            <v>OBI161552</v>
          </cell>
        </row>
        <row r="1808">
          <cell r="A1808">
            <v>2264695</v>
          </cell>
          <cell r="G1808" t="str">
            <v>SBBG166103</v>
          </cell>
        </row>
        <row r="1809">
          <cell r="A1809">
            <v>3656309</v>
          </cell>
        </row>
        <row r="1810">
          <cell r="A1810">
            <v>4588064</v>
          </cell>
          <cell r="G1810" t="str">
            <v>UCSB057874</v>
          </cell>
        </row>
        <row r="1811">
          <cell r="A1811">
            <v>3641757</v>
          </cell>
          <cell r="G1811" t="str">
            <v>OBI166658</v>
          </cell>
        </row>
        <row r="1812">
          <cell r="A1812">
            <v>3641756</v>
          </cell>
          <cell r="G1812" t="str">
            <v>OBI166657</v>
          </cell>
        </row>
        <row r="1813">
          <cell r="A1813">
            <v>2207182</v>
          </cell>
        </row>
        <row r="1814">
          <cell r="A1814">
            <v>2207186</v>
          </cell>
        </row>
        <row r="1815">
          <cell r="A1815">
            <v>2207207</v>
          </cell>
        </row>
        <row r="1816">
          <cell r="A1816">
            <v>2207216</v>
          </cell>
        </row>
        <row r="1817">
          <cell r="A1817">
            <v>2207224</v>
          </cell>
        </row>
        <row r="1818">
          <cell r="A1818">
            <v>2207251</v>
          </cell>
        </row>
        <row r="1819">
          <cell r="A1819">
            <v>2207273</v>
          </cell>
        </row>
        <row r="1820">
          <cell r="A1820">
            <v>2207282</v>
          </cell>
        </row>
        <row r="1821">
          <cell r="A1821">
            <v>2207308</v>
          </cell>
        </row>
        <row r="1822">
          <cell r="A1822">
            <v>2207312</v>
          </cell>
        </row>
        <row r="1823">
          <cell r="A1823">
            <v>2207336</v>
          </cell>
        </row>
        <row r="1824">
          <cell r="A1824">
            <v>2207339</v>
          </cell>
        </row>
        <row r="1825">
          <cell r="A1825">
            <v>2207374</v>
          </cell>
        </row>
        <row r="1826">
          <cell r="A1826">
            <v>2207383</v>
          </cell>
        </row>
        <row r="1827">
          <cell r="A1827">
            <v>2207423</v>
          </cell>
        </row>
        <row r="1828">
          <cell r="A1828">
            <v>2207434</v>
          </cell>
        </row>
        <row r="1829">
          <cell r="A1829">
            <v>2207437</v>
          </cell>
        </row>
        <row r="1830">
          <cell r="A1830">
            <v>3590166</v>
          </cell>
          <cell r="G1830" t="str">
            <v>UCSC100003138</v>
          </cell>
        </row>
        <row r="1831">
          <cell r="A1831">
            <v>3590297</v>
          </cell>
        </row>
        <row r="1832">
          <cell r="A1832">
            <v>3590276</v>
          </cell>
          <cell r="G1832" t="str">
            <v>UCSC100003126</v>
          </cell>
        </row>
        <row r="1833">
          <cell r="A1833">
            <v>3618936</v>
          </cell>
        </row>
        <row r="1834">
          <cell r="A1834">
            <v>5976409</v>
          </cell>
          <cell r="G1834" t="str">
            <v>RSA0577830</v>
          </cell>
        </row>
        <row r="1835">
          <cell r="A1835">
            <v>6026439</v>
          </cell>
          <cell r="G1835" t="str">
            <v>RSA0618917</v>
          </cell>
        </row>
        <row r="1836">
          <cell r="A1836">
            <v>4060635</v>
          </cell>
          <cell r="G1836" t="str">
            <v>SBBG230712</v>
          </cell>
        </row>
        <row r="1837">
          <cell r="A1837">
            <v>3826742</v>
          </cell>
        </row>
        <row r="1838">
          <cell r="A1838">
            <v>3826803</v>
          </cell>
        </row>
        <row r="1839">
          <cell r="A1839">
            <v>3826866</v>
          </cell>
        </row>
        <row r="1840">
          <cell r="A1840">
            <v>3826872</v>
          </cell>
        </row>
        <row r="1841">
          <cell r="A1841">
            <v>3826916</v>
          </cell>
        </row>
        <row r="1842">
          <cell r="A1842">
            <v>3826971</v>
          </cell>
        </row>
        <row r="1843">
          <cell r="A1843">
            <v>3827001</v>
          </cell>
        </row>
        <row r="1844">
          <cell r="A1844">
            <v>3827041</v>
          </cell>
        </row>
        <row r="1845">
          <cell r="A1845">
            <v>3827089</v>
          </cell>
        </row>
        <row r="1846">
          <cell r="A1846">
            <v>5217104</v>
          </cell>
          <cell r="G1846" t="str">
            <v>LA00647863</v>
          </cell>
        </row>
        <row r="1847">
          <cell r="A1847">
            <v>5549192</v>
          </cell>
          <cell r="G1847" t="str">
            <v>SDSU25094</v>
          </cell>
        </row>
        <row r="1848">
          <cell r="A1848">
            <v>5371810</v>
          </cell>
          <cell r="G1848" t="str">
            <v>LA00629274</v>
          </cell>
        </row>
        <row r="1849">
          <cell r="A1849">
            <v>5752868</v>
          </cell>
          <cell r="G1849" t="str">
            <v>OBI183593</v>
          </cell>
        </row>
        <row r="1850">
          <cell r="A1850">
            <v>5760426</v>
          </cell>
          <cell r="G1850" t="str">
            <v>OBI183611</v>
          </cell>
        </row>
        <row r="1851">
          <cell r="A1851">
            <v>5365196</v>
          </cell>
          <cell r="G1851" t="str">
            <v>SBBG244185</v>
          </cell>
        </row>
        <row r="1852">
          <cell r="A1852">
            <v>5533146</v>
          </cell>
        </row>
        <row r="1853">
          <cell r="A1853">
            <v>5540556</v>
          </cell>
          <cell r="G1853" t="str">
            <v>SBBG245233</v>
          </cell>
        </row>
        <row r="1854">
          <cell r="A1854">
            <v>6017874</v>
          </cell>
        </row>
        <row r="1855">
          <cell r="A1855">
            <v>5799408</v>
          </cell>
          <cell r="G1855" t="str">
            <v>LOB102934</v>
          </cell>
        </row>
        <row r="1856">
          <cell r="A1856">
            <v>6048990</v>
          </cell>
        </row>
        <row r="1857">
          <cell r="A1857">
            <v>5996911</v>
          </cell>
          <cell r="G1857" t="str">
            <v>SD00085680</v>
          </cell>
        </row>
        <row r="1858">
          <cell r="A1858">
            <v>5934188</v>
          </cell>
          <cell r="G1858" t="str">
            <v>SD00083704</v>
          </cell>
        </row>
        <row r="1859">
          <cell r="A1859">
            <v>6049125</v>
          </cell>
        </row>
        <row r="1860">
          <cell r="A1860">
            <v>6053255</v>
          </cell>
        </row>
        <row r="1861">
          <cell r="A1861">
            <v>6003808</v>
          </cell>
          <cell r="G1861" t="str">
            <v>DAV244422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ch2.org/portal/collections/individual/index.php?occid=2358923&amp;cl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7F-015E-254F-9250-3E11DBAB5537}">
  <dimension ref="A1:M873"/>
  <sheetViews>
    <sheetView tabSelected="1" zoomScale="110" zoomScaleNormal="110" workbookViewId="0">
      <pane ySplit="1" topLeftCell="A851" activePane="bottomLeft" state="frozen"/>
      <selection pane="bottomLeft" activeCell="C874" sqref="C874"/>
    </sheetView>
  </sheetViews>
  <sheetFormatPr baseColWidth="10" defaultRowHeight="16" x14ac:dyDescent="0.2"/>
  <cols>
    <col min="1" max="1" width="12" bestFit="1" customWidth="1"/>
    <col min="3" max="3" width="13" bestFit="1" customWidth="1"/>
    <col min="4" max="4" width="15.33203125" bestFit="1" customWidth="1"/>
    <col min="5" max="5" width="9.33203125" customWidth="1"/>
    <col min="6" max="6" width="22.83203125" customWidth="1"/>
    <col min="7" max="7" width="21.5" customWidth="1"/>
    <col min="8" max="8" width="24.1640625" customWidth="1"/>
    <col min="11" max="11" width="15.1640625" customWidth="1"/>
    <col min="12" max="12" width="19" customWidth="1"/>
  </cols>
  <sheetData>
    <row r="1" spans="1:12" s="1" customFormat="1" x14ac:dyDescent="0.2">
      <c r="A1" s="4" t="s">
        <v>151</v>
      </c>
      <c r="B1" s="5" t="s">
        <v>0</v>
      </c>
      <c r="C1" s="1" t="s">
        <v>1</v>
      </c>
      <c r="D1" s="1" t="s">
        <v>2</v>
      </c>
      <c r="E1" s="1" t="s">
        <v>3</v>
      </c>
      <c r="F1" s="1" t="s">
        <v>765</v>
      </c>
      <c r="G1" s="1" t="s">
        <v>4</v>
      </c>
      <c r="H1" s="1" t="s">
        <v>7</v>
      </c>
      <c r="I1" s="1" t="s">
        <v>5</v>
      </c>
      <c r="J1" s="1" t="s">
        <v>168</v>
      </c>
      <c r="K1" s="1" t="s">
        <v>1078</v>
      </c>
      <c r="L1" s="1" t="s">
        <v>981</v>
      </c>
    </row>
    <row r="2" spans="1:12" x14ac:dyDescent="0.2">
      <c r="A2" t="s">
        <v>1271</v>
      </c>
      <c r="B2" t="s">
        <v>845</v>
      </c>
      <c r="C2" t="s">
        <v>669</v>
      </c>
      <c r="D2" s="8">
        <v>74174</v>
      </c>
      <c r="E2">
        <v>1893</v>
      </c>
      <c r="F2" t="s">
        <v>703</v>
      </c>
      <c r="G2" t="s">
        <v>110</v>
      </c>
      <c r="I2" t="s">
        <v>704</v>
      </c>
    </row>
    <row r="3" spans="1:12" x14ac:dyDescent="0.2">
      <c r="A3">
        <f>_xlfn.XLOOKUP(D3, [1]Raphanus_specimens_all_2025!G:G, [1]Raphanus_specimens_all_2025!A:A, "")</f>
        <v>2316473</v>
      </c>
      <c r="B3">
        <v>2316473</v>
      </c>
      <c r="C3" t="s">
        <v>669</v>
      </c>
      <c r="D3" s="8">
        <v>74304</v>
      </c>
      <c r="E3">
        <v>1907</v>
      </c>
      <c r="F3" t="s">
        <v>821</v>
      </c>
      <c r="G3" t="s">
        <v>110</v>
      </c>
      <c r="H3" t="s">
        <v>635</v>
      </c>
      <c r="I3" t="s">
        <v>827</v>
      </c>
    </row>
    <row r="4" spans="1:12" x14ac:dyDescent="0.2">
      <c r="A4">
        <f>_xlfn.XLOOKUP(D4, [1]Raphanus_specimens_all_2025!G:G, [1]Raphanus_specimens_all_2025!A:A, "")</f>
        <v>2465901</v>
      </c>
      <c r="B4">
        <v>2465901</v>
      </c>
      <c r="C4" t="s">
        <v>669</v>
      </c>
      <c r="D4" s="8">
        <v>74345</v>
      </c>
      <c r="E4">
        <v>1907</v>
      </c>
      <c r="F4" t="s">
        <v>795</v>
      </c>
      <c r="G4" t="s">
        <v>110</v>
      </c>
      <c r="H4" t="s">
        <v>670</v>
      </c>
    </row>
    <row r="5" spans="1:12" x14ac:dyDescent="0.2">
      <c r="A5">
        <f>_xlfn.XLOOKUP(D5, [1]Raphanus_specimens_all_2025!G:G, [1]Raphanus_specimens_all_2025!A:A, "")</f>
        <v>2286003</v>
      </c>
      <c r="B5">
        <v>2286003</v>
      </c>
      <c r="C5" t="s">
        <v>669</v>
      </c>
      <c r="D5" s="8">
        <v>74303</v>
      </c>
      <c r="E5">
        <v>1910</v>
      </c>
      <c r="F5" t="s">
        <v>760</v>
      </c>
      <c r="G5" t="s">
        <v>110</v>
      </c>
      <c r="H5" t="s">
        <v>25</v>
      </c>
    </row>
    <row r="6" spans="1:12" x14ac:dyDescent="0.2">
      <c r="A6">
        <f>_xlfn.XLOOKUP(D6, [1]Raphanus_specimens_all_2025!G:G, [1]Raphanus_specimens_all_2025!A:A, "")</f>
        <v>2385124</v>
      </c>
      <c r="B6">
        <v>2385124</v>
      </c>
      <c r="C6" t="s">
        <v>669</v>
      </c>
      <c r="D6" s="8">
        <v>74196</v>
      </c>
      <c r="E6">
        <v>1920</v>
      </c>
      <c r="F6" t="s">
        <v>681</v>
      </c>
      <c r="G6" t="s">
        <v>110</v>
      </c>
      <c r="H6" t="s">
        <v>78</v>
      </c>
    </row>
    <row r="7" spans="1:12" x14ac:dyDescent="0.2">
      <c r="A7">
        <f>_xlfn.XLOOKUP(D7, [1]Raphanus_specimens_all_2025!G:G, [1]Raphanus_specimens_all_2025!A:A, "")</f>
        <v>2288164</v>
      </c>
      <c r="B7">
        <v>2288164</v>
      </c>
      <c r="C7" t="s">
        <v>669</v>
      </c>
      <c r="D7" s="8">
        <v>74192</v>
      </c>
      <c r="E7">
        <v>1926</v>
      </c>
      <c r="F7" t="s">
        <v>716</v>
      </c>
      <c r="G7" t="s">
        <v>110</v>
      </c>
      <c r="H7" t="s">
        <v>670</v>
      </c>
      <c r="I7" t="s">
        <v>717</v>
      </c>
    </row>
    <row r="8" spans="1:12" x14ac:dyDescent="0.2">
      <c r="A8">
        <f>_xlfn.XLOOKUP(D8, [1]Raphanus_specimens_all_2025!G:G, [1]Raphanus_specimens_all_2025!A:A, "")</f>
        <v>2338864</v>
      </c>
      <c r="B8">
        <v>2338864</v>
      </c>
      <c r="C8" t="s">
        <v>669</v>
      </c>
      <c r="D8" s="8">
        <v>74333</v>
      </c>
      <c r="E8">
        <v>1936</v>
      </c>
      <c r="F8" t="s">
        <v>529</v>
      </c>
      <c r="G8" t="s">
        <v>110</v>
      </c>
      <c r="H8" t="s">
        <v>670</v>
      </c>
    </row>
    <row r="9" spans="1:12" x14ac:dyDescent="0.2">
      <c r="A9">
        <f>_xlfn.XLOOKUP(D9, [1]Raphanus_specimens_all_2025!G:G, [1]Raphanus_specimens_all_2025!A:A, "")</f>
        <v>2324177</v>
      </c>
      <c r="B9">
        <v>2324177</v>
      </c>
      <c r="C9" t="s">
        <v>669</v>
      </c>
      <c r="D9" s="8">
        <v>74208</v>
      </c>
      <c r="E9">
        <v>1946</v>
      </c>
      <c r="F9" s="7" t="s">
        <v>744</v>
      </c>
      <c r="G9" s="7" t="s">
        <v>110</v>
      </c>
      <c r="H9" s="7" t="s">
        <v>745</v>
      </c>
      <c r="I9" s="7" t="s">
        <v>723</v>
      </c>
    </row>
    <row r="10" spans="1:12" x14ac:dyDescent="0.2">
      <c r="A10">
        <f>_xlfn.XLOOKUP(D10, [1]Raphanus_specimens_all_2025!G:G, [1]Raphanus_specimens_all_2025!A:A, "")</f>
        <v>2411987</v>
      </c>
      <c r="B10">
        <v>2411987</v>
      </c>
      <c r="C10" t="s">
        <v>669</v>
      </c>
      <c r="D10">
        <v>74331</v>
      </c>
      <c r="E10">
        <v>1952</v>
      </c>
      <c r="F10" t="s">
        <v>695</v>
      </c>
      <c r="G10" t="s">
        <v>110</v>
      </c>
      <c r="H10" t="s">
        <v>676</v>
      </c>
    </row>
    <row r="11" spans="1:12" x14ac:dyDescent="0.2">
      <c r="A11">
        <f>_xlfn.XLOOKUP(D11, [1]Raphanus_specimens_all_2025!G:G, [1]Raphanus_specimens_all_2025!A:A, "")</f>
        <v>2282381</v>
      </c>
      <c r="B11">
        <v>2282381</v>
      </c>
      <c r="C11" t="s">
        <v>669</v>
      </c>
      <c r="D11">
        <v>74359</v>
      </c>
      <c r="E11">
        <v>1954</v>
      </c>
      <c r="F11" t="s">
        <v>847</v>
      </c>
      <c r="G11" t="s">
        <v>110</v>
      </c>
      <c r="H11" t="s">
        <v>670</v>
      </c>
      <c r="I11" t="s">
        <v>846</v>
      </c>
    </row>
    <row r="12" spans="1:12" x14ac:dyDescent="0.2">
      <c r="A12">
        <f>_xlfn.XLOOKUP(D12, [1]Raphanus_specimens_all_2025!G:G, [1]Raphanus_specimens_all_2025!A:A, "")</f>
        <v>2318143</v>
      </c>
      <c r="B12">
        <v>2318143</v>
      </c>
      <c r="C12" t="s">
        <v>669</v>
      </c>
      <c r="D12" s="8">
        <v>74176</v>
      </c>
      <c r="E12">
        <v>1964</v>
      </c>
      <c r="F12" t="s">
        <v>647</v>
      </c>
      <c r="G12" t="s">
        <v>110</v>
      </c>
      <c r="H12" t="s">
        <v>702</v>
      </c>
      <c r="I12" t="s">
        <v>706</v>
      </c>
    </row>
    <row r="13" spans="1:12" x14ac:dyDescent="0.2">
      <c r="A13">
        <f>_xlfn.XLOOKUP(D13, [1]Raphanus_specimens_all_2025!G:G, [1]Raphanus_specimens_all_2025!A:A, "")</f>
        <v>2464854</v>
      </c>
      <c r="B13">
        <v>2464854</v>
      </c>
      <c r="C13" t="s">
        <v>669</v>
      </c>
      <c r="D13">
        <v>74334</v>
      </c>
      <c r="E13">
        <v>1964</v>
      </c>
      <c r="F13" t="s">
        <v>855</v>
      </c>
      <c r="G13" t="s">
        <v>110</v>
      </c>
      <c r="H13" t="s">
        <v>25</v>
      </c>
    </row>
    <row r="14" spans="1:12" x14ac:dyDescent="0.2">
      <c r="A14">
        <f>_xlfn.XLOOKUP(D14, [1]Raphanus_specimens_all_2025!G:G, [1]Raphanus_specimens_all_2025!A:A, "")</f>
        <v>5504849</v>
      </c>
      <c r="B14">
        <v>5504849</v>
      </c>
      <c r="C14" t="s">
        <v>669</v>
      </c>
      <c r="D14" s="8">
        <v>684486</v>
      </c>
      <c r="E14">
        <v>1966</v>
      </c>
      <c r="F14" t="s">
        <v>713</v>
      </c>
      <c r="G14" t="s">
        <v>110</v>
      </c>
      <c r="H14" t="s">
        <v>712</v>
      </c>
    </row>
    <row r="15" spans="1:12" x14ac:dyDescent="0.2">
      <c r="A15">
        <f>_xlfn.XLOOKUP(D15, [1]Raphanus_specimens_all_2025!G:G, [1]Raphanus_specimens_all_2025!A:A, "")</f>
        <v>5504848</v>
      </c>
      <c r="B15">
        <v>5504848</v>
      </c>
      <c r="C15" t="s">
        <v>669</v>
      </c>
      <c r="D15" s="8">
        <v>684485</v>
      </c>
      <c r="E15">
        <v>1969</v>
      </c>
      <c r="F15" t="s">
        <v>711</v>
      </c>
      <c r="G15" t="s">
        <v>110</v>
      </c>
      <c r="H15" t="s">
        <v>710</v>
      </c>
      <c r="J15" t="s">
        <v>751</v>
      </c>
    </row>
    <row r="16" spans="1:12" x14ac:dyDescent="0.2">
      <c r="A16">
        <f>_xlfn.XLOOKUP(D16, [1]Raphanus_specimens_all_2025!G:G, [1]Raphanus_specimens_all_2025!A:A, "")</f>
        <v>5504846</v>
      </c>
      <c r="B16">
        <v>5504846</v>
      </c>
      <c r="C16" t="s">
        <v>669</v>
      </c>
      <c r="D16" s="8">
        <v>684483</v>
      </c>
      <c r="E16">
        <v>1973</v>
      </c>
      <c r="F16" t="s">
        <v>472</v>
      </c>
      <c r="G16" t="s">
        <v>110</v>
      </c>
      <c r="H16" t="s">
        <v>670</v>
      </c>
    </row>
    <row r="17" spans="1:9" x14ac:dyDescent="0.2">
      <c r="A17">
        <f>_xlfn.XLOOKUP(D17, [1]Raphanus_specimens_all_2025!G:G, [1]Raphanus_specimens_all_2025!A:A, "")</f>
        <v>2457183</v>
      </c>
      <c r="B17">
        <v>2457183</v>
      </c>
      <c r="C17" t="s">
        <v>669</v>
      </c>
      <c r="D17">
        <v>74340</v>
      </c>
      <c r="E17">
        <v>1973</v>
      </c>
      <c r="F17" t="s">
        <v>713</v>
      </c>
      <c r="G17" t="s">
        <v>110</v>
      </c>
      <c r="H17" t="s">
        <v>558</v>
      </c>
    </row>
    <row r="18" spans="1:9" x14ac:dyDescent="0.2">
      <c r="A18">
        <f>_xlfn.XLOOKUP(D18, [1]Raphanus_specimens_all_2025!G:G, [1]Raphanus_specimens_all_2025!A:A, "")</f>
        <v>2355201</v>
      </c>
      <c r="B18">
        <v>2355201</v>
      </c>
      <c r="C18" t="s">
        <v>669</v>
      </c>
      <c r="D18" s="8">
        <v>74180</v>
      </c>
      <c r="E18">
        <v>1978</v>
      </c>
      <c r="F18" t="s">
        <v>647</v>
      </c>
      <c r="G18" t="s">
        <v>110</v>
      </c>
      <c r="H18" t="s">
        <v>670</v>
      </c>
    </row>
    <row r="19" spans="1:9" x14ac:dyDescent="0.2">
      <c r="A19">
        <f>_xlfn.XLOOKUP(D19, [1]Raphanus_specimens_all_2025!G:G, [1]Raphanus_specimens_all_2025!A:A, "")</f>
        <v>2414894</v>
      </c>
      <c r="B19">
        <v>2414894</v>
      </c>
      <c r="C19" t="s">
        <v>669</v>
      </c>
      <c r="D19" s="8">
        <v>74294</v>
      </c>
      <c r="E19">
        <v>1979</v>
      </c>
      <c r="F19" t="s">
        <v>491</v>
      </c>
      <c r="G19" t="s">
        <v>110</v>
      </c>
      <c r="H19" t="s">
        <v>635</v>
      </c>
    </row>
    <row r="20" spans="1:9" x14ac:dyDescent="0.2">
      <c r="A20">
        <f>_xlfn.XLOOKUP(D20, [1]Raphanus_specimens_all_2025!G:G, [1]Raphanus_specimens_all_2025!A:A, "")</f>
        <v>5569680</v>
      </c>
      <c r="B20">
        <v>5569680</v>
      </c>
      <c r="C20" t="s">
        <v>669</v>
      </c>
      <c r="D20" s="8">
        <v>684523</v>
      </c>
      <c r="E20">
        <v>1982</v>
      </c>
      <c r="F20" t="s">
        <v>800</v>
      </c>
      <c r="G20" t="s">
        <v>110</v>
      </c>
      <c r="H20" t="s">
        <v>670</v>
      </c>
    </row>
    <row r="21" spans="1:9" x14ac:dyDescent="0.2">
      <c r="A21">
        <f>_xlfn.XLOOKUP(D21, [1]Raphanus_specimens_all_2025!G:G, [1]Raphanus_specimens_all_2025!A:A, "")</f>
        <v>2405194</v>
      </c>
      <c r="B21">
        <v>2405194</v>
      </c>
      <c r="C21" t="s">
        <v>669</v>
      </c>
      <c r="D21" s="8">
        <v>74188</v>
      </c>
      <c r="E21">
        <v>1988</v>
      </c>
      <c r="F21" t="s">
        <v>838</v>
      </c>
      <c r="G21" t="s">
        <v>110</v>
      </c>
      <c r="H21" t="s">
        <v>684</v>
      </c>
      <c r="I21" t="s">
        <v>686</v>
      </c>
    </row>
    <row r="22" spans="1:9" x14ac:dyDescent="0.2">
      <c r="A22" t="s">
        <v>845</v>
      </c>
      <c r="B22" t="s">
        <v>845</v>
      </c>
      <c r="C22" t="s">
        <v>669</v>
      </c>
      <c r="D22" s="8">
        <v>74189</v>
      </c>
      <c r="F22" t="s">
        <v>837</v>
      </c>
      <c r="G22" t="s">
        <v>110</v>
      </c>
      <c r="H22" t="s">
        <v>78</v>
      </c>
    </row>
    <row r="23" spans="1:9" x14ac:dyDescent="0.2">
      <c r="A23">
        <f>_xlfn.XLOOKUP(D23, [1]Raphanus_specimens_all_2025!G:G, [1]Raphanus_specimens_all_2025!A:A, "")</f>
        <v>2286213</v>
      </c>
      <c r="B23">
        <v>2286213</v>
      </c>
      <c r="C23" t="s">
        <v>669</v>
      </c>
      <c r="D23" s="8">
        <v>74276</v>
      </c>
      <c r="E23">
        <v>1891</v>
      </c>
      <c r="F23" t="s">
        <v>813</v>
      </c>
      <c r="G23" t="s">
        <v>11</v>
      </c>
      <c r="H23" t="s">
        <v>670</v>
      </c>
      <c r="I23" t="s">
        <v>809</v>
      </c>
    </row>
    <row r="24" spans="1:9" x14ac:dyDescent="0.2">
      <c r="A24">
        <f>_xlfn.XLOOKUP(D24, [1]Raphanus_specimens_all_2025!G:G, [1]Raphanus_specimens_all_2025!A:A, "")</f>
        <v>2448284</v>
      </c>
      <c r="B24">
        <v>2448284</v>
      </c>
      <c r="C24" t="s">
        <v>669</v>
      </c>
      <c r="D24" s="8">
        <v>74317</v>
      </c>
      <c r="E24">
        <v>1893</v>
      </c>
      <c r="F24" t="s">
        <v>813</v>
      </c>
      <c r="G24" t="s">
        <v>11</v>
      </c>
      <c r="H24" t="s">
        <v>25</v>
      </c>
    </row>
    <row r="25" spans="1:9" x14ac:dyDescent="0.2">
      <c r="A25">
        <f>_xlfn.XLOOKUP(D25, [1]Raphanus_specimens_all_2025!G:G, [1]Raphanus_specimens_all_2025!A:A, "")</f>
        <v>2283873</v>
      </c>
      <c r="B25">
        <v>2283873</v>
      </c>
      <c r="C25" t="s">
        <v>669</v>
      </c>
      <c r="D25" s="8">
        <v>74352</v>
      </c>
      <c r="E25">
        <v>1895</v>
      </c>
      <c r="F25" t="s">
        <v>776</v>
      </c>
      <c r="G25" t="s">
        <v>11</v>
      </c>
      <c r="H25" t="s">
        <v>25</v>
      </c>
    </row>
    <row r="26" spans="1:9" x14ac:dyDescent="0.2">
      <c r="A26">
        <f>_xlfn.XLOOKUP(D26, [1]Raphanus_specimens_all_2025!G:G, [1]Raphanus_specimens_all_2025!A:A, "")</f>
        <v>2286564</v>
      </c>
      <c r="B26">
        <v>2286564</v>
      </c>
      <c r="C26" t="s">
        <v>669</v>
      </c>
      <c r="D26" s="8">
        <v>74343</v>
      </c>
      <c r="E26">
        <v>1897</v>
      </c>
      <c r="F26" t="s">
        <v>774</v>
      </c>
      <c r="G26" t="s">
        <v>11</v>
      </c>
      <c r="H26" t="s">
        <v>25</v>
      </c>
    </row>
    <row r="27" spans="1:9" x14ac:dyDescent="0.2">
      <c r="A27">
        <f>_xlfn.XLOOKUP(D27, [1]Raphanus_specimens_all_2025!G:G, [1]Raphanus_specimens_all_2025!A:A, "")</f>
        <v>2271679</v>
      </c>
      <c r="B27">
        <v>2271679</v>
      </c>
      <c r="C27" t="s">
        <v>669</v>
      </c>
      <c r="D27" s="8">
        <v>74261</v>
      </c>
      <c r="E27">
        <v>1902</v>
      </c>
      <c r="F27" t="s">
        <v>775</v>
      </c>
      <c r="G27" t="s">
        <v>11</v>
      </c>
      <c r="H27" t="s">
        <v>635</v>
      </c>
    </row>
    <row r="28" spans="1:9" x14ac:dyDescent="0.2">
      <c r="A28">
        <f>_xlfn.XLOOKUP(D28, [1]Raphanus_specimens_all_2025!G:G, [1]Raphanus_specimens_all_2025!A:A, "")</f>
        <v>2440540</v>
      </c>
      <c r="B28">
        <v>2440540</v>
      </c>
      <c r="C28" t="s">
        <v>669</v>
      </c>
      <c r="D28" s="8">
        <v>74278</v>
      </c>
      <c r="E28">
        <v>1902</v>
      </c>
      <c r="F28" t="s">
        <v>808</v>
      </c>
      <c r="G28" t="s">
        <v>11</v>
      </c>
      <c r="H28" t="s">
        <v>670</v>
      </c>
    </row>
    <row r="29" spans="1:9" x14ac:dyDescent="0.2">
      <c r="A29">
        <f>_xlfn.XLOOKUP(D29, [1]Raphanus_specimens_all_2025!G:G, [1]Raphanus_specimens_all_2025!A:A, "")</f>
        <v>2302311</v>
      </c>
      <c r="B29">
        <v>2302311</v>
      </c>
      <c r="C29" t="s">
        <v>669</v>
      </c>
      <c r="D29" s="8">
        <v>74297</v>
      </c>
      <c r="E29">
        <v>1903</v>
      </c>
      <c r="F29" t="s">
        <v>695</v>
      </c>
      <c r="G29" t="s">
        <v>11</v>
      </c>
      <c r="H29" t="s">
        <v>25</v>
      </c>
    </row>
    <row r="30" spans="1:9" x14ac:dyDescent="0.2">
      <c r="A30">
        <f>_xlfn.XLOOKUP(D30, [1]Raphanus_specimens_all_2025!G:G, [1]Raphanus_specimens_all_2025!A:A, "")</f>
        <v>2296541</v>
      </c>
      <c r="B30">
        <v>2296541</v>
      </c>
      <c r="C30" t="s">
        <v>669</v>
      </c>
      <c r="D30" s="8">
        <v>74177</v>
      </c>
      <c r="E30">
        <v>1904</v>
      </c>
      <c r="F30" t="s">
        <v>699</v>
      </c>
      <c r="G30" t="s">
        <v>11</v>
      </c>
      <c r="H30" t="s">
        <v>635</v>
      </c>
    </row>
    <row r="31" spans="1:9" x14ac:dyDescent="0.2">
      <c r="A31">
        <f>_xlfn.XLOOKUP(D31, [1]Raphanus_specimens_all_2025!G:G, [1]Raphanus_specimens_all_2025!A:A, "")</f>
        <v>2340225</v>
      </c>
      <c r="B31">
        <v>2340225</v>
      </c>
      <c r="C31" t="s">
        <v>669</v>
      </c>
      <c r="D31" s="8">
        <v>74344</v>
      </c>
      <c r="E31">
        <v>1907</v>
      </c>
      <c r="F31" t="s">
        <v>671</v>
      </c>
      <c r="G31" t="s">
        <v>11</v>
      </c>
      <c r="H31" t="s">
        <v>670</v>
      </c>
    </row>
    <row r="32" spans="1:9" x14ac:dyDescent="0.2">
      <c r="A32">
        <f>_xlfn.XLOOKUP(D32, [1]Raphanus_specimens_all_2025!G:G, [1]Raphanus_specimens_all_2025!A:A, "")</f>
        <v>2294495</v>
      </c>
      <c r="B32">
        <v>2294495</v>
      </c>
      <c r="C32" t="s">
        <v>669</v>
      </c>
      <c r="D32" s="8">
        <v>74302</v>
      </c>
      <c r="E32">
        <v>1910</v>
      </c>
      <c r="F32" t="s">
        <v>472</v>
      </c>
      <c r="G32" t="s">
        <v>11</v>
      </c>
      <c r="H32" t="s">
        <v>25</v>
      </c>
    </row>
    <row r="33" spans="1:9" x14ac:dyDescent="0.2">
      <c r="A33">
        <f>_xlfn.XLOOKUP(D33, [1]Raphanus_specimens_all_2025!G:G, [1]Raphanus_specimens_all_2025!A:A, "")</f>
        <v>2328808</v>
      </c>
      <c r="B33">
        <v>2328808</v>
      </c>
      <c r="C33" t="s">
        <v>669</v>
      </c>
      <c r="D33" s="8">
        <v>74301</v>
      </c>
      <c r="E33">
        <v>1910</v>
      </c>
      <c r="F33" t="s">
        <v>823</v>
      </c>
      <c r="G33" t="s">
        <v>11</v>
      </c>
      <c r="H33" t="s">
        <v>670</v>
      </c>
    </row>
    <row r="34" spans="1:9" x14ac:dyDescent="0.2">
      <c r="A34">
        <f>_xlfn.XLOOKUP(D34, [1]Raphanus_specimens_all_2025!G:G, [1]Raphanus_specimens_all_2025!A:A, "")</f>
        <v>2426166</v>
      </c>
      <c r="B34">
        <v>2426166</v>
      </c>
      <c r="C34" t="s">
        <v>669</v>
      </c>
      <c r="D34">
        <v>74363</v>
      </c>
      <c r="E34">
        <v>1912</v>
      </c>
      <c r="F34" t="s">
        <v>766</v>
      </c>
      <c r="G34" t="s">
        <v>11</v>
      </c>
      <c r="H34" t="s">
        <v>635</v>
      </c>
    </row>
    <row r="35" spans="1:9" x14ac:dyDescent="0.2">
      <c r="A35">
        <f>_xlfn.XLOOKUP(D35, [1]Raphanus_specimens_all_2025!G:G, [1]Raphanus_specimens_all_2025!A:A, "")</f>
        <v>2312024</v>
      </c>
      <c r="B35">
        <v>2312024</v>
      </c>
      <c r="C35" t="s">
        <v>669</v>
      </c>
      <c r="D35" s="8">
        <v>74263</v>
      </c>
      <c r="E35">
        <v>1914</v>
      </c>
      <c r="F35" t="s">
        <v>671</v>
      </c>
      <c r="G35" t="s">
        <v>11</v>
      </c>
      <c r="H35" t="s">
        <v>25</v>
      </c>
    </row>
    <row r="36" spans="1:9" x14ac:dyDescent="0.2">
      <c r="A36">
        <f>_xlfn.XLOOKUP(D36, [1]Raphanus_specimens_all_2025!G:G, [1]Raphanus_specimens_all_2025!A:A, "")</f>
        <v>2450948</v>
      </c>
      <c r="B36">
        <v>2450948</v>
      </c>
      <c r="C36" t="s">
        <v>669</v>
      </c>
      <c r="D36" s="8">
        <v>74210</v>
      </c>
      <c r="E36">
        <v>1919</v>
      </c>
      <c r="F36" t="s">
        <v>472</v>
      </c>
      <c r="G36" t="s">
        <v>11</v>
      </c>
      <c r="H36" t="s">
        <v>725</v>
      </c>
    </row>
    <row r="37" spans="1:9" x14ac:dyDescent="0.2">
      <c r="A37">
        <f>_xlfn.XLOOKUP(D37, [1]Raphanus_specimens_all_2025!G:G, [1]Raphanus_specimens_all_2025!A:A, "")</f>
        <v>2357521</v>
      </c>
      <c r="B37">
        <v>2357521</v>
      </c>
      <c r="C37" t="s">
        <v>669</v>
      </c>
      <c r="D37" s="8">
        <v>74241</v>
      </c>
      <c r="E37">
        <v>1919</v>
      </c>
      <c r="F37" t="s">
        <v>735</v>
      </c>
      <c r="G37" t="s">
        <v>11</v>
      </c>
      <c r="H37" t="s">
        <v>725</v>
      </c>
    </row>
    <row r="38" spans="1:9" x14ac:dyDescent="0.2">
      <c r="A38">
        <f>_xlfn.XLOOKUP(D38, [1]Raphanus_specimens_all_2025!G:G, [1]Raphanus_specimens_all_2025!A:A, "")</f>
        <v>2398571</v>
      </c>
      <c r="B38">
        <v>2398571</v>
      </c>
      <c r="C38" t="s">
        <v>669</v>
      </c>
      <c r="D38" s="8">
        <v>74207</v>
      </c>
      <c r="E38">
        <v>1920</v>
      </c>
      <c r="F38" t="s">
        <v>746</v>
      </c>
      <c r="G38" t="s">
        <v>11</v>
      </c>
      <c r="H38" t="s">
        <v>670</v>
      </c>
    </row>
    <row r="39" spans="1:9" x14ac:dyDescent="0.2">
      <c r="A39">
        <f>_xlfn.XLOOKUP(D39, [1]Raphanus_specimens_all_2025!G:G, [1]Raphanus_specimens_all_2025!A:A, "")</f>
        <v>2342396</v>
      </c>
      <c r="B39">
        <v>2342396</v>
      </c>
      <c r="C39" t="s">
        <v>669</v>
      </c>
      <c r="D39" s="8">
        <v>74312</v>
      </c>
      <c r="E39">
        <v>1920</v>
      </c>
      <c r="F39" t="s">
        <v>455</v>
      </c>
      <c r="G39" t="s">
        <v>11</v>
      </c>
      <c r="H39" t="s">
        <v>635</v>
      </c>
      <c r="I39" t="s">
        <v>514</v>
      </c>
    </row>
    <row r="40" spans="1:9" x14ac:dyDescent="0.2">
      <c r="A40">
        <f>_xlfn.XLOOKUP(D40, [1]Raphanus_specimens_all_2025!G:G, [1]Raphanus_specimens_all_2025!A:A, "")</f>
        <v>2401356</v>
      </c>
      <c r="B40">
        <v>2401356</v>
      </c>
      <c r="C40" t="s">
        <v>669</v>
      </c>
      <c r="D40" s="8">
        <v>74221</v>
      </c>
      <c r="E40">
        <v>1921</v>
      </c>
      <c r="F40" t="s">
        <v>743</v>
      </c>
      <c r="G40" t="s">
        <v>11</v>
      </c>
      <c r="H40" t="s">
        <v>25</v>
      </c>
      <c r="I40" t="s">
        <v>767</v>
      </c>
    </row>
    <row r="41" spans="1:9" x14ac:dyDescent="0.2">
      <c r="A41">
        <f>_xlfn.XLOOKUP(D41, [1]Raphanus_specimens_all_2025!G:G, [1]Raphanus_specimens_all_2025!A:A, "")</f>
        <v>2408641</v>
      </c>
      <c r="B41">
        <v>2408641</v>
      </c>
      <c r="C41" t="s">
        <v>669</v>
      </c>
      <c r="D41" s="8">
        <v>74267</v>
      </c>
      <c r="E41">
        <v>1930</v>
      </c>
      <c r="F41" t="s">
        <v>647</v>
      </c>
      <c r="G41" t="s">
        <v>11</v>
      </c>
      <c r="H41" t="s">
        <v>25</v>
      </c>
    </row>
    <row r="42" spans="1:9" x14ac:dyDescent="0.2">
      <c r="A42">
        <f>_xlfn.XLOOKUP(D42, [1]Raphanus_specimens_all_2025!G:G, [1]Raphanus_specimens_all_2025!A:A, "")</f>
        <v>2384991</v>
      </c>
      <c r="B42">
        <v>2384991</v>
      </c>
      <c r="C42" t="s">
        <v>669</v>
      </c>
      <c r="D42" s="8">
        <v>74230</v>
      </c>
      <c r="E42">
        <v>1932</v>
      </c>
      <c r="F42" t="s">
        <v>455</v>
      </c>
      <c r="G42" t="s">
        <v>11</v>
      </c>
      <c r="H42" t="s">
        <v>25</v>
      </c>
      <c r="I42" t="s">
        <v>758</v>
      </c>
    </row>
    <row r="43" spans="1:9" x14ac:dyDescent="0.2">
      <c r="A43">
        <f>_xlfn.XLOOKUP(D43, [1]Raphanus_specimens_all_2025!G:G, [1]Raphanus_specimens_all_2025!A:A, "")</f>
        <v>2773470</v>
      </c>
      <c r="B43">
        <v>2773470</v>
      </c>
      <c r="C43" t="s">
        <v>669</v>
      </c>
      <c r="D43" s="8">
        <v>554230</v>
      </c>
      <c r="E43">
        <v>1937</v>
      </c>
      <c r="F43" t="s">
        <v>754</v>
      </c>
      <c r="G43" t="s">
        <v>11</v>
      </c>
      <c r="H43" t="s">
        <v>670</v>
      </c>
      <c r="I43" t="s">
        <v>514</v>
      </c>
    </row>
    <row r="44" spans="1:9" x14ac:dyDescent="0.2">
      <c r="A44">
        <f>_xlfn.XLOOKUP(D44, [1]Raphanus_specimens_all_2025!G:G, [1]Raphanus_specimens_all_2025!A:A, "")</f>
        <v>2772139</v>
      </c>
      <c r="B44">
        <v>2772139</v>
      </c>
      <c r="C44" t="s">
        <v>669</v>
      </c>
      <c r="D44" s="8">
        <v>550649</v>
      </c>
      <c r="E44">
        <v>1937</v>
      </c>
      <c r="F44" t="s">
        <v>802</v>
      </c>
      <c r="G44" t="s">
        <v>11</v>
      </c>
      <c r="H44" t="s">
        <v>670</v>
      </c>
    </row>
    <row r="45" spans="1:9" x14ac:dyDescent="0.2">
      <c r="A45">
        <f>_xlfn.XLOOKUP(D45, [1]Raphanus_specimens_all_2025!G:G, [1]Raphanus_specimens_all_2025!A:A, "")</f>
        <v>2772132</v>
      </c>
      <c r="B45">
        <v>2772132</v>
      </c>
      <c r="C45" t="s">
        <v>669</v>
      </c>
      <c r="D45" s="8">
        <v>550642</v>
      </c>
      <c r="E45">
        <v>1937</v>
      </c>
      <c r="F45" t="s">
        <v>833</v>
      </c>
      <c r="G45" t="s">
        <v>11</v>
      </c>
      <c r="H45" t="s">
        <v>635</v>
      </c>
      <c r="I45" t="s">
        <v>832</v>
      </c>
    </row>
    <row r="46" spans="1:9" x14ac:dyDescent="0.2">
      <c r="A46">
        <f>_xlfn.XLOOKUP(D46, [1]Raphanus_specimens_all_2025!G:G, [1]Raphanus_specimens_all_2025!A:A, "")</f>
        <v>2411397</v>
      </c>
      <c r="B46">
        <v>2411397</v>
      </c>
      <c r="C46" t="s">
        <v>669</v>
      </c>
      <c r="D46" s="8">
        <v>74215</v>
      </c>
      <c r="E46">
        <v>1945</v>
      </c>
      <c r="F46" t="s">
        <v>738</v>
      </c>
      <c r="G46" t="s">
        <v>11</v>
      </c>
      <c r="H46" t="s">
        <v>670</v>
      </c>
    </row>
    <row r="47" spans="1:9" x14ac:dyDescent="0.2">
      <c r="A47">
        <f>_xlfn.XLOOKUP(D47, [1]Raphanus_specimens_all_2025!G:G, [1]Raphanus_specimens_all_2025!A:A, "")</f>
        <v>2288810</v>
      </c>
      <c r="B47">
        <v>2288810</v>
      </c>
      <c r="C47" t="s">
        <v>669</v>
      </c>
      <c r="D47" s="8">
        <v>74216</v>
      </c>
      <c r="E47">
        <v>1947</v>
      </c>
      <c r="F47" t="s">
        <v>708</v>
      </c>
      <c r="G47" t="s">
        <v>11</v>
      </c>
      <c r="H47" t="s">
        <v>670</v>
      </c>
    </row>
    <row r="48" spans="1:9" x14ac:dyDescent="0.2">
      <c r="A48">
        <f>_xlfn.XLOOKUP(D48, [1]Raphanus_specimens_all_2025!G:G, [1]Raphanus_specimens_all_2025!A:A, "")</f>
        <v>2291878</v>
      </c>
      <c r="B48">
        <v>2291878</v>
      </c>
      <c r="C48" t="s">
        <v>669</v>
      </c>
      <c r="D48" s="8">
        <v>74283</v>
      </c>
      <c r="E48">
        <v>1949</v>
      </c>
      <c r="F48" t="s">
        <v>455</v>
      </c>
      <c r="G48" t="s">
        <v>11</v>
      </c>
      <c r="H48" t="s">
        <v>25</v>
      </c>
      <c r="I48" t="s">
        <v>806</v>
      </c>
    </row>
    <row r="49" spans="1:10" x14ac:dyDescent="0.2">
      <c r="A49">
        <f>_xlfn.XLOOKUP(D49, [1]Raphanus_specimens_all_2025!G:G, [1]Raphanus_specimens_all_2025!A:A, "")</f>
        <v>2390070</v>
      </c>
      <c r="B49">
        <v>2390070</v>
      </c>
      <c r="C49" t="s">
        <v>669</v>
      </c>
      <c r="D49" s="8">
        <v>74348</v>
      </c>
      <c r="E49">
        <v>1949</v>
      </c>
      <c r="F49" t="s">
        <v>834</v>
      </c>
      <c r="G49" t="s">
        <v>11</v>
      </c>
      <c r="H49" t="s">
        <v>25</v>
      </c>
      <c r="I49" t="s">
        <v>835</v>
      </c>
    </row>
    <row r="50" spans="1:10" x14ac:dyDescent="0.2">
      <c r="A50">
        <f>_xlfn.XLOOKUP(D50, [1]Raphanus_specimens_all_2025!G:G, [1]Raphanus_specimens_all_2025!A:A, "")</f>
        <v>2292239</v>
      </c>
      <c r="B50">
        <v>2292239</v>
      </c>
      <c r="C50" t="s">
        <v>669</v>
      </c>
      <c r="D50" s="8">
        <v>74194</v>
      </c>
      <c r="E50">
        <v>1950</v>
      </c>
      <c r="F50" t="s">
        <v>743</v>
      </c>
      <c r="G50" t="s">
        <v>11</v>
      </c>
      <c r="H50" t="s">
        <v>683</v>
      </c>
    </row>
    <row r="51" spans="1:10" x14ac:dyDescent="0.2">
      <c r="A51">
        <f>_xlfn.XLOOKUP(D51, [1]Raphanus_specimens_all_2025!G:G, [1]Raphanus_specimens_all_2025!A:A, "")</f>
        <v>2311342</v>
      </c>
      <c r="B51">
        <v>2311342</v>
      </c>
      <c r="C51" t="s">
        <v>669</v>
      </c>
      <c r="D51" s="8">
        <v>74195</v>
      </c>
      <c r="E51">
        <v>1952</v>
      </c>
      <c r="F51" t="s">
        <v>779</v>
      </c>
      <c r="G51" t="s">
        <v>11</v>
      </c>
      <c r="H51" t="s">
        <v>344</v>
      </c>
    </row>
    <row r="52" spans="1:10" x14ac:dyDescent="0.2">
      <c r="A52">
        <f>_xlfn.XLOOKUP(D52, [1]Raphanus_specimens_all_2025!G:G, [1]Raphanus_specimens_all_2025!A:A, "")</f>
        <v>2324050</v>
      </c>
      <c r="B52">
        <v>2324050</v>
      </c>
      <c r="C52" t="s">
        <v>669</v>
      </c>
      <c r="D52" s="8">
        <v>74181</v>
      </c>
      <c r="E52">
        <v>1954</v>
      </c>
      <c r="F52" t="s">
        <v>695</v>
      </c>
      <c r="G52" t="s">
        <v>11</v>
      </c>
      <c r="H52" t="s">
        <v>694</v>
      </c>
      <c r="I52" t="s">
        <v>707</v>
      </c>
    </row>
    <row r="53" spans="1:10" x14ac:dyDescent="0.2">
      <c r="A53">
        <f>_xlfn.XLOOKUP(D53, [1]Raphanus_specimens_all_2025!G:G, [1]Raphanus_specimens_all_2025!A:A, "")</f>
        <v>2283407</v>
      </c>
      <c r="B53">
        <v>2283407</v>
      </c>
      <c r="C53" t="s">
        <v>669</v>
      </c>
      <c r="D53" s="8">
        <v>74225</v>
      </c>
      <c r="E53">
        <v>1955</v>
      </c>
      <c r="F53" t="s">
        <v>762</v>
      </c>
      <c r="G53" t="s">
        <v>11</v>
      </c>
      <c r="I53" t="s">
        <v>763</v>
      </c>
    </row>
    <row r="54" spans="1:10" x14ac:dyDescent="0.2">
      <c r="A54">
        <f>_xlfn.XLOOKUP(D54, [1]Raphanus_specimens_all_2025!G:G, [1]Raphanus_specimens_all_2025!A:A, "")</f>
        <v>2437632</v>
      </c>
      <c r="B54">
        <v>2437632</v>
      </c>
      <c r="C54" t="s">
        <v>669</v>
      </c>
      <c r="D54" s="8">
        <v>74321</v>
      </c>
      <c r="E54">
        <v>1956</v>
      </c>
      <c r="F54" t="s">
        <v>829</v>
      </c>
      <c r="G54" t="s">
        <v>11</v>
      </c>
      <c r="H54" t="s">
        <v>797</v>
      </c>
    </row>
    <row r="55" spans="1:10" x14ac:dyDescent="0.2">
      <c r="A55">
        <f>_xlfn.XLOOKUP(D55, [1]Raphanus_specimens_all_2025!G:G, [1]Raphanus_specimens_all_2025!A:A, "")</f>
        <v>2399359</v>
      </c>
      <c r="B55">
        <v>2399359</v>
      </c>
      <c r="C55" t="s">
        <v>669</v>
      </c>
      <c r="D55">
        <v>74349</v>
      </c>
      <c r="E55">
        <v>1956</v>
      </c>
      <c r="F55" t="s">
        <v>732</v>
      </c>
      <c r="G55" t="s">
        <v>11</v>
      </c>
      <c r="H55" t="s">
        <v>670</v>
      </c>
    </row>
    <row r="56" spans="1:10" x14ac:dyDescent="0.2">
      <c r="A56">
        <f>_xlfn.XLOOKUP(D56, [1]Raphanus_specimens_all_2025!G:G, [1]Raphanus_specimens_all_2025!A:A, "")</f>
        <v>2332340</v>
      </c>
      <c r="B56">
        <v>2332340</v>
      </c>
      <c r="C56" t="s">
        <v>669</v>
      </c>
      <c r="D56" s="8">
        <v>74271</v>
      </c>
      <c r="E56">
        <v>1957</v>
      </c>
      <c r="F56" t="s">
        <v>472</v>
      </c>
      <c r="G56" t="s">
        <v>11</v>
      </c>
      <c r="H56" t="s">
        <v>333</v>
      </c>
      <c r="I56" t="s">
        <v>805</v>
      </c>
    </row>
    <row r="57" spans="1:10" x14ac:dyDescent="0.2">
      <c r="A57">
        <f>_xlfn.XLOOKUP(D57, [1]Raphanus_specimens_all_2025!G:G, [1]Raphanus_specimens_all_2025!A:A, "")</f>
        <v>2412262</v>
      </c>
      <c r="B57">
        <v>2412262</v>
      </c>
      <c r="C57" t="s">
        <v>669</v>
      </c>
      <c r="D57" s="8">
        <v>74328</v>
      </c>
      <c r="E57">
        <v>1957</v>
      </c>
      <c r="F57" t="s">
        <v>671</v>
      </c>
      <c r="G57" t="s">
        <v>11</v>
      </c>
      <c r="H57" t="s">
        <v>553</v>
      </c>
    </row>
    <row r="58" spans="1:10" x14ac:dyDescent="0.2">
      <c r="A58">
        <f>_xlfn.XLOOKUP(D58, [1]Raphanus_specimens_all_2025!G:G, [1]Raphanus_specimens_all_2025!A:A, "")</f>
        <v>2316628</v>
      </c>
      <c r="B58">
        <v>2316628</v>
      </c>
      <c r="C58" t="s">
        <v>669</v>
      </c>
      <c r="D58" s="8">
        <v>74323</v>
      </c>
      <c r="E58">
        <v>1957</v>
      </c>
      <c r="F58" t="s">
        <v>647</v>
      </c>
      <c r="G58" t="s">
        <v>11</v>
      </c>
      <c r="H58" t="s">
        <v>635</v>
      </c>
    </row>
    <row r="59" spans="1:10" x14ac:dyDescent="0.2">
      <c r="A59">
        <f>_xlfn.XLOOKUP(D59, [1]Raphanus_specimens_all_2025!G:G, [1]Raphanus_specimens_all_2025!A:A, "")</f>
        <v>2298844</v>
      </c>
      <c r="B59">
        <v>2298844</v>
      </c>
      <c r="C59" t="s">
        <v>669</v>
      </c>
      <c r="D59" s="8">
        <v>74186</v>
      </c>
      <c r="E59">
        <v>1958</v>
      </c>
      <c r="F59" t="s">
        <v>472</v>
      </c>
      <c r="G59" t="s">
        <v>11</v>
      </c>
      <c r="H59" t="s">
        <v>688</v>
      </c>
    </row>
    <row r="60" spans="1:10" x14ac:dyDescent="0.2">
      <c r="A60">
        <f>_xlfn.XLOOKUP(D60, [1]Raphanus_specimens_all_2025!G:G, [1]Raphanus_specimens_all_2025!A:A, "")</f>
        <v>2358623</v>
      </c>
      <c r="B60">
        <v>2358623</v>
      </c>
      <c r="C60" t="s">
        <v>669</v>
      </c>
      <c r="D60" s="8">
        <v>74178</v>
      </c>
      <c r="E60">
        <v>1958</v>
      </c>
      <c r="F60" t="s">
        <v>698</v>
      </c>
      <c r="G60" t="s">
        <v>11</v>
      </c>
      <c r="H60" t="s">
        <v>344</v>
      </c>
    </row>
    <row r="61" spans="1:10" x14ac:dyDescent="0.2">
      <c r="A61">
        <f>_xlfn.XLOOKUP(D61, [1]Raphanus_specimens_all_2025!G:G, [1]Raphanus_specimens_all_2025!A:A, "")</f>
        <v>2465925</v>
      </c>
      <c r="B61">
        <v>2465925</v>
      </c>
      <c r="C61" t="s">
        <v>669</v>
      </c>
      <c r="D61" s="8">
        <v>74185</v>
      </c>
      <c r="E61">
        <v>1959</v>
      </c>
      <c r="F61" t="s">
        <v>690</v>
      </c>
      <c r="G61" t="s">
        <v>11</v>
      </c>
      <c r="H61" t="s">
        <v>691</v>
      </c>
      <c r="I61" t="s">
        <v>689</v>
      </c>
    </row>
    <row r="62" spans="1:10" x14ac:dyDescent="0.2">
      <c r="A62">
        <f>_xlfn.XLOOKUP(D62, [1]Raphanus_specimens_all_2025!G:G, [1]Raphanus_specimens_all_2025!A:A, "")</f>
        <v>2290828</v>
      </c>
      <c r="B62">
        <v>2290828</v>
      </c>
      <c r="C62" t="s">
        <v>669</v>
      </c>
      <c r="D62" s="8">
        <v>74234</v>
      </c>
      <c r="E62">
        <v>1961</v>
      </c>
      <c r="F62" t="s">
        <v>440</v>
      </c>
      <c r="G62" t="s">
        <v>11</v>
      </c>
      <c r="H62" t="s">
        <v>25</v>
      </c>
      <c r="J62" t="s">
        <v>757</v>
      </c>
    </row>
    <row r="63" spans="1:10" x14ac:dyDescent="0.2">
      <c r="A63">
        <f>_xlfn.XLOOKUP(D63, [1]Raphanus_specimens_all_2025!G:G, [1]Raphanus_specimens_all_2025!A:A, "")</f>
        <v>2378585</v>
      </c>
      <c r="B63">
        <v>2378585</v>
      </c>
      <c r="C63" t="s">
        <v>669</v>
      </c>
      <c r="D63" s="8">
        <v>74277</v>
      </c>
      <c r="E63">
        <v>1961</v>
      </c>
      <c r="F63" t="s">
        <v>812</v>
      </c>
      <c r="G63" t="s">
        <v>11</v>
      </c>
      <c r="H63" t="s">
        <v>25</v>
      </c>
      <c r="I63" t="s">
        <v>809</v>
      </c>
    </row>
    <row r="64" spans="1:10" x14ac:dyDescent="0.2">
      <c r="A64">
        <f>_xlfn.XLOOKUP(D64, [1]Raphanus_specimens_all_2025!G:G, [1]Raphanus_specimens_all_2025!A:A, "")</f>
        <v>2409497</v>
      </c>
      <c r="B64">
        <v>2409497</v>
      </c>
      <c r="C64" t="s">
        <v>669</v>
      </c>
      <c r="D64" s="8">
        <v>74291</v>
      </c>
      <c r="E64">
        <v>1961</v>
      </c>
      <c r="F64" t="s">
        <v>719</v>
      </c>
      <c r="G64" t="s">
        <v>11</v>
      </c>
      <c r="H64" t="s">
        <v>25</v>
      </c>
      <c r="I64" t="s">
        <v>418</v>
      </c>
    </row>
    <row r="65" spans="1:10" x14ac:dyDescent="0.2">
      <c r="A65">
        <f>_xlfn.XLOOKUP(D65, [1]Raphanus_specimens_all_2025!G:G, [1]Raphanus_specimens_all_2025!A:A, "")</f>
        <v>2345323</v>
      </c>
      <c r="B65">
        <v>2345323</v>
      </c>
      <c r="C65" t="s">
        <v>669</v>
      </c>
      <c r="D65" s="8">
        <v>74239</v>
      </c>
      <c r="E65">
        <v>1962</v>
      </c>
      <c r="F65" t="s">
        <v>455</v>
      </c>
      <c r="G65" t="s">
        <v>11</v>
      </c>
      <c r="H65" t="s">
        <v>750</v>
      </c>
    </row>
    <row r="66" spans="1:10" x14ac:dyDescent="0.2">
      <c r="A66">
        <f>_xlfn.XLOOKUP(D66, [1]Raphanus_specimens_all_2025!G:G, [1]Raphanus_specimens_all_2025!A:A, "")</f>
        <v>2373106</v>
      </c>
      <c r="B66">
        <v>2373106</v>
      </c>
      <c r="C66" t="s">
        <v>669</v>
      </c>
      <c r="D66" s="8">
        <v>74226</v>
      </c>
      <c r="E66">
        <v>1962</v>
      </c>
      <c r="F66" t="s">
        <v>719</v>
      </c>
      <c r="G66" t="s">
        <v>11</v>
      </c>
      <c r="H66" t="s">
        <v>25</v>
      </c>
    </row>
    <row r="67" spans="1:10" x14ac:dyDescent="0.2">
      <c r="A67">
        <f>_xlfn.XLOOKUP(D67, [1]Raphanus_specimens_all_2025!G:G, [1]Raphanus_specimens_all_2025!A:A, "")</f>
        <v>5504851</v>
      </c>
      <c r="B67">
        <v>5504851</v>
      </c>
      <c r="C67" t="s">
        <v>669</v>
      </c>
      <c r="D67" s="8">
        <v>684488</v>
      </c>
      <c r="E67">
        <v>1962</v>
      </c>
      <c r="F67" t="s">
        <v>455</v>
      </c>
      <c r="G67" t="s">
        <v>11</v>
      </c>
      <c r="H67" t="s">
        <v>25</v>
      </c>
    </row>
    <row r="68" spans="1:10" x14ac:dyDescent="0.2">
      <c r="A68">
        <f>_xlfn.XLOOKUP(D68, [1]Raphanus_specimens_all_2025!G:G, [1]Raphanus_specimens_all_2025!A:A, "")</f>
        <v>5569673</v>
      </c>
      <c r="B68">
        <v>5569673</v>
      </c>
      <c r="C68" t="s">
        <v>669</v>
      </c>
      <c r="D68" s="8">
        <v>684516</v>
      </c>
      <c r="E68">
        <v>1963</v>
      </c>
      <c r="F68" t="s">
        <v>455</v>
      </c>
      <c r="G68" t="s">
        <v>11</v>
      </c>
      <c r="H68" t="s">
        <v>750</v>
      </c>
      <c r="J68" t="s">
        <v>786</v>
      </c>
    </row>
    <row r="69" spans="1:10" x14ac:dyDescent="0.2">
      <c r="A69">
        <f>_xlfn.XLOOKUP(D69, [1]Raphanus_specimens_all_2025!G:G, [1]Raphanus_specimens_all_2025!A:A, "")</f>
        <v>2447532</v>
      </c>
      <c r="B69">
        <v>2447532</v>
      </c>
      <c r="C69" t="s">
        <v>669</v>
      </c>
      <c r="D69">
        <v>74341</v>
      </c>
      <c r="E69">
        <v>1963</v>
      </c>
      <c r="F69" t="s">
        <v>503</v>
      </c>
      <c r="G69" t="s">
        <v>11</v>
      </c>
      <c r="H69" t="s">
        <v>25</v>
      </c>
    </row>
    <row r="70" spans="1:10" x14ac:dyDescent="0.2">
      <c r="A70">
        <f>_xlfn.XLOOKUP(D70, [1]Raphanus_specimens_all_2025!G:G, [1]Raphanus_specimens_all_2025!A:A, "")</f>
        <v>2318143</v>
      </c>
      <c r="B70">
        <v>2318143</v>
      </c>
      <c r="C70" t="s">
        <v>669</v>
      </c>
      <c r="D70" s="8">
        <v>74176</v>
      </c>
      <c r="E70">
        <v>1964</v>
      </c>
      <c r="F70" t="s">
        <v>701</v>
      </c>
      <c r="G70" t="s">
        <v>11</v>
      </c>
      <c r="H70" t="s">
        <v>670</v>
      </c>
      <c r="I70" t="s">
        <v>700</v>
      </c>
    </row>
    <row r="71" spans="1:10" x14ac:dyDescent="0.2">
      <c r="A71">
        <f>_xlfn.XLOOKUP(D71, [1]Raphanus_specimens_all_2025!G:G, [1]Raphanus_specimens_all_2025!A:A, "")</f>
        <v>5569677</v>
      </c>
      <c r="B71">
        <v>5569677</v>
      </c>
      <c r="C71" t="s">
        <v>669</v>
      </c>
      <c r="D71" s="8">
        <v>684520</v>
      </c>
      <c r="E71">
        <v>1964</v>
      </c>
      <c r="F71" t="s">
        <v>788</v>
      </c>
      <c r="G71" t="s">
        <v>11</v>
      </c>
      <c r="H71" t="s">
        <v>25</v>
      </c>
      <c r="I71" t="s">
        <v>787</v>
      </c>
    </row>
    <row r="72" spans="1:10" x14ac:dyDescent="0.2">
      <c r="A72">
        <f>_xlfn.XLOOKUP(D72, [1]Raphanus_specimens_all_2025!G:G, [1]Raphanus_specimens_all_2025!A:A, "")</f>
        <v>5569682</v>
      </c>
      <c r="B72">
        <v>5569682</v>
      </c>
      <c r="C72" t="s">
        <v>669</v>
      </c>
      <c r="D72" s="8">
        <v>684525</v>
      </c>
      <c r="E72">
        <v>1964</v>
      </c>
      <c r="F72" t="s">
        <v>799</v>
      </c>
      <c r="G72" t="s">
        <v>11</v>
      </c>
      <c r="H72" t="s">
        <v>25</v>
      </c>
      <c r="I72" t="s">
        <v>810</v>
      </c>
    </row>
    <row r="73" spans="1:10" x14ac:dyDescent="0.2">
      <c r="A73">
        <f>_xlfn.XLOOKUP(D73, [1]Raphanus_specimens_all_2025!G:G, [1]Raphanus_specimens_all_2025!A:A, "")</f>
        <v>5504854</v>
      </c>
      <c r="B73">
        <v>5504854</v>
      </c>
      <c r="C73" t="s">
        <v>669</v>
      </c>
      <c r="D73" s="8">
        <v>684491</v>
      </c>
      <c r="E73">
        <v>1965</v>
      </c>
      <c r="F73" t="s">
        <v>713</v>
      </c>
      <c r="G73" t="s">
        <v>11</v>
      </c>
      <c r="H73" t="s">
        <v>25</v>
      </c>
    </row>
    <row r="74" spans="1:10" x14ac:dyDescent="0.2">
      <c r="A74">
        <f>_xlfn.XLOOKUP(D74, [1]Raphanus_specimens_all_2025!G:G, [1]Raphanus_specimens_all_2025!A:A, "")</f>
        <v>2422811</v>
      </c>
      <c r="B74">
        <v>2422811</v>
      </c>
      <c r="C74" t="s">
        <v>669</v>
      </c>
      <c r="D74" s="8">
        <v>74227</v>
      </c>
      <c r="E74">
        <v>1966</v>
      </c>
      <c r="F74" t="s">
        <v>746</v>
      </c>
      <c r="G74" t="s">
        <v>11</v>
      </c>
      <c r="H74" t="s">
        <v>635</v>
      </c>
      <c r="I74" t="s">
        <v>761</v>
      </c>
    </row>
    <row r="75" spans="1:10" x14ac:dyDescent="0.2">
      <c r="A75">
        <f>_xlfn.XLOOKUP(D75, [1]Raphanus_specimens_all_2025!G:G, [1]Raphanus_specimens_all_2025!A:A, "")</f>
        <v>5504872</v>
      </c>
      <c r="B75">
        <v>5504872</v>
      </c>
      <c r="C75" t="s">
        <v>669</v>
      </c>
      <c r="D75" s="8">
        <v>684511</v>
      </c>
      <c r="E75">
        <v>1966</v>
      </c>
      <c r="F75" t="s">
        <v>472</v>
      </c>
      <c r="G75" t="s">
        <v>11</v>
      </c>
      <c r="H75" t="s">
        <v>25</v>
      </c>
    </row>
    <row r="76" spans="1:10" x14ac:dyDescent="0.2">
      <c r="A76">
        <f>_xlfn.XLOOKUP(D76, [1]Raphanus_specimens_all_2025!G:G, [1]Raphanus_specimens_all_2025!A:A, "")</f>
        <v>5569672</v>
      </c>
      <c r="B76">
        <v>5569672</v>
      </c>
      <c r="C76" t="s">
        <v>669</v>
      </c>
      <c r="D76" s="8">
        <v>684515</v>
      </c>
      <c r="E76">
        <v>1966</v>
      </c>
      <c r="F76" t="s">
        <v>472</v>
      </c>
      <c r="G76" t="s">
        <v>11</v>
      </c>
      <c r="H76" t="s">
        <v>579</v>
      </c>
    </row>
    <row r="77" spans="1:10" x14ac:dyDescent="0.2">
      <c r="A77">
        <f>_xlfn.XLOOKUP(D77, [1]Raphanus_specimens_all_2025!G:G, [1]Raphanus_specimens_all_2025!A:A, "")</f>
        <v>5569678</v>
      </c>
      <c r="B77">
        <v>5569678</v>
      </c>
      <c r="C77" t="s">
        <v>669</v>
      </c>
      <c r="D77" s="8">
        <v>684521</v>
      </c>
      <c r="E77">
        <v>1966</v>
      </c>
      <c r="F77" t="s">
        <v>789</v>
      </c>
      <c r="G77" t="s">
        <v>11</v>
      </c>
      <c r="H77" t="s">
        <v>25</v>
      </c>
    </row>
    <row r="78" spans="1:10" x14ac:dyDescent="0.2">
      <c r="A78">
        <f>_xlfn.XLOOKUP(D78, [1]Raphanus_specimens_all_2025!G:G, [1]Raphanus_specimens_all_2025!A:A, "")</f>
        <v>2347205</v>
      </c>
      <c r="B78">
        <v>2347205</v>
      </c>
      <c r="C78" t="s">
        <v>669</v>
      </c>
      <c r="D78" s="8">
        <v>74217</v>
      </c>
      <c r="E78">
        <v>1967</v>
      </c>
      <c r="F78" t="s">
        <v>605</v>
      </c>
      <c r="G78" t="s">
        <v>11</v>
      </c>
      <c r="H78" t="s">
        <v>670</v>
      </c>
    </row>
    <row r="79" spans="1:10" x14ac:dyDescent="0.2">
      <c r="A79">
        <f>_xlfn.XLOOKUP(D79, [1]Raphanus_specimens_all_2025!G:G, [1]Raphanus_specimens_all_2025!A:A, "")</f>
        <v>5569674</v>
      </c>
      <c r="B79">
        <v>5569674</v>
      </c>
      <c r="C79" t="s">
        <v>669</v>
      </c>
      <c r="D79" s="8">
        <v>684517</v>
      </c>
      <c r="E79">
        <v>1967</v>
      </c>
      <c r="F79" t="s">
        <v>455</v>
      </c>
      <c r="G79" t="s">
        <v>11</v>
      </c>
      <c r="H79" t="s">
        <v>25</v>
      </c>
    </row>
    <row r="80" spans="1:10" x14ac:dyDescent="0.2">
      <c r="A80">
        <f>_xlfn.XLOOKUP(D80, [1]Raphanus_specimens_all_2025!G:G, [1]Raphanus_specimens_all_2025!A:A, "")</f>
        <v>2272450</v>
      </c>
      <c r="B80">
        <v>2272450</v>
      </c>
      <c r="C80" t="s">
        <v>669</v>
      </c>
      <c r="D80" s="8">
        <v>74275</v>
      </c>
      <c r="E80">
        <v>1967</v>
      </c>
      <c r="F80" t="s">
        <v>713</v>
      </c>
      <c r="G80" t="s">
        <v>11</v>
      </c>
      <c r="H80" t="s">
        <v>803</v>
      </c>
      <c r="I80" t="s">
        <v>804</v>
      </c>
    </row>
    <row r="81" spans="1:9" x14ac:dyDescent="0.2">
      <c r="A81">
        <f>_xlfn.XLOOKUP(D81, [1]Raphanus_specimens_all_2025!G:G, [1]Raphanus_specimens_all_2025!A:A, "")</f>
        <v>2432397</v>
      </c>
      <c r="B81">
        <v>2432397</v>
      </c>
      <c r="C81" t="s">
        <v>669</v>
      </c>
      <c r="D81" s="8">
        <v>74187</v>
      </c>
      <c r="E81">
        <v>1968</v>
      </c>
      <c r="F81" t="s">
        <v>455</v>
      </c>
      <c r="G81" t="s">
        <v>11</v>
      </c>
      <c r="H81" t="s">
        <v>687</v>
      </c>
    </row>
    <row r="82" spans="1:9" x14ac:dyDescent="0.2">
      <c r="A82">
        <f>_xlfn.XLOOKUP(D82, [1]Raphanus_specimens_all_2025!G:G, [1]Raphanus_specimens_all_2025!A:A, "")</f>
        <v>2290218</v>
      </c>
      <c r="B82">
        <v>2290218</v>
      </c>
      <c r="C82" t="s">
        <v>669</v>
      </c>
      <c r="D82" s="8">
        <v>74286</v>
      </c>
      <c r="E82">
        <v>1969</v>
      </c>
      <c r="F82" t="s">
        <v>440</v>
      </c>
      <c r="G82" t="s">
        <v>11</v>
      </c>
      <c r="H82" t="s">
        <v>670</v>
      </c>
    </row>
    <row r="83" spans="1:9" x14ac:dyDescent="0.2">
      <c r="A83">
        <f>_xlfn.XLOOKUP(D83, [1]Raphanus_specimens_all_2025!G:G, [1]Raphanus_specimens_all_2025!A:A, "")</f>
        <v>5504853</v>
      </c>
      <c r="B83">
        <v>5504853</v>
      </c>
      <c r="C83" t="s">
        <v>669</v>
      </c>
      <c r="D83" s="8">
        <v>684490</v>
      </c>
      <c r="E83">
        <v>1970</v>
      </c>
      <c r="F83" s="9" t="s">
        <v>455</v>
      </c>
      <c r="G83" t="s">
        <v>11</v>
      </c>
      <c r="H83" t="s">
        <v>670</v>
      </c>
    </row>
    <row r="84" spans="1:9" x14ac:dyDescent="0.2">
      <c r="A84">
        <f>_xlfn.XLOOKUP(D84, [1]Raphanus_specimens_all_2025!G:G, [1]Raphanus_specimens_all_2025!A:A, "")</f>
        <v>5569854</v>
      </c>
      <c r="B84">
        <v>5569854</v>
      </c>
      <c r="C84" t="s">
        <v>669</v>
      </c>
      <c r="D84">
        <v>685182</v>
      </c>
      <c r="E84">
        <v>1970</v>
      </c>
      <c r="F84" t="s">
        <v>713</v>
      </c>
      <c r="G84" t="s">
        <v>11</v>
      </c>
      <c r="H84" t="s">
        <v>852</v>
      </c>
    </row>
    <row r="85" spans="1:9" x14ac:dyDescent="0.2">
      <c r="A85">
        <f>_xlfn.XLOOKUP(D85, [1]Raphanus_specimens_all_2025!G:G, [1]Raphanus_specimens_all_2025!A:A, "")</f>
        <v>5697344</v>
      </c>
      <c r="B85">
        <v>5697344</v>
      </c>
      <c r="C85" t="s">
        <v>669</v>
      </c>
      <c r="D85" s="8">
        <v>684496</v>
      </c>
      <c r="E85">
        <v>1971</v>
      </c>
      <c r="F85" t="s">
        <v>764</v>
      </c>
      <c r="G85" t="s">
        <v>11</v>
      </c>
      <c r="H85" t="s">
        <v>25</v>
      </c>
    </row>
    <row r="86" spans="1:9" x14ac:dyDescent="0.2">
      <c r="A86">
        <f>_xlfn.XLOOKUP(D86, [1]Raphanus_specimens_all_2025!G:G, [1]Raphanus_specimens_all_2025!A:A, "")</f>
        <v>5504866</v>
      </c>
      <c r="B86">
        <v>5504866</v>
      </c>
      <c r="C86" t="s">
        <v>669</v>
      </c>
      <c r="D86" s="8">
        <v>684505</v>
      </c>
      <c r="E86">
        <v>1971</v>
      </c>
      <c r="F86" t="s">
        <v>793</v>
      </c>
      <c r="G86" t="s">
        <v>11</v>
      </c>
      <c r="H86" t="s">
        <v>777</v>
      </c>
    </row>
    <row r="87" spans="1:9" x14ac:dyDescent="0.2">
      <c r="A87">
        <f>_xlfn.XLOOKUP(D87, [1]Raphanus_specimens_all_2025!G:G, [1]Raphanus_specimens_all_2025!A:A, "")</f>
        <v>5569852</v>
      </c>
      <c r="B87">
        <v>5569852</v>
      </c>
      <c r="C87" t="s">
        <v>669</v>
      </c>
      <c r="D87">
        <v>685180</v>
      </c>
      <c r="E87">
        <v>1972</v>
      </c>
      <c r="F87" t="s">
        <v>850</v>
      </c>
      <c r="G87" t="s">
        <v>11</v>
      </c>
      <c r="H87" t="s">
        <v>25</v>
      </c>
      <c r="I87" t="s">
        <v>514</v>
      </c>
    </row>
    <row r="88" spans="1:9" x14ac:dyDescent="0.2">
      <c r="A88">
        <f>_xlfn.XLOOKUP(D88, [1]Raphanus_specimens_all_2025!G:G, [1]Raphanus_specimens_all_2025!A:A, "")</f>
        <v>5569853</v>
      </c>
      <c r="B88">
        <v>5569853</v>
      </c>
      <c r="C88" t="s">
        <v>669</v>
      </c>
      <c r="D88">
        <v>685181</v>
      </c>
      <c r="E88">
        <v>1972</v>
      </c>
      <c r="F88" t="s">
        <v>503</v>
      </c>
      <c r="G88" t="s">
        <v>11</v>
      </c>
      <c r="H88" t="s">
        <v>851</v>
      </c>
    </row>
    <row r="89" spans="1:9" x14ac:dyDescent="0.2">
      <c r="A89">
        <f>_xlfn.XLOOKUP(D89, [1]Raphanus_specimens_all_2025!G:G, [1]Raphanus_specimens_all_2025!A:A, "")</f>
        <v>2439512</v>
      </c>
      <c r="B89">
        <v>2439512</v>
      </c>
      <c r="C89" t="s">
        <v>669</v>
      </c>
      <c r="D89" s="8">
        <v>74266</v>
      </c>
      <c r="E89">
        <v>1973</v>
      </c>
      <c r="F89" t="s">
        <v>503</v>
      </c>
      <c r="G89" t="s">
        <v>11</v>
      </c>
      <c r="H89" t="s">
        <v>25</v>
      </c>
    </row>
    <row r="90" spans="1:9" x14ac:dyDescent="0.2">
      <c r="A90">
        <v>5504850</v>
      </c>
      <c r="B90">
        <v>5504850</v>
      </c>
      <c r="C90" t="s">
        <v>669</v>
      </c>
      <c r="D90" s="8">
        <v>684487</v>
      </c>
      <c r="E90">
        <v>1974</v>
      </c>
      <c r="F90" t="s">
        <v>772</v>
      </c>
      <c r="G90" t="s">
        <v>11</v>
      </c>
      <c r="H90" t="s">
        <v>771</v>
      </c>
    </row>
    <row r="91" spans="1:9" x14ac:dyDescent="0.2">
      <c r="A91">
        <f>_xlfn.XLOOKUP(D91, [1]Raphanus_specimens_all_2025!G:G, [1]Raphanus_specimens_all_2025!A:A, "")</f>
        <v>5504870</v>
      </c>
      <c r="B91">
        <v>5504870</v>
      </c>
      <c r="C91" t="s">
        <v>669</v>
      </c>
      <c r="D91" s="8">
        <v>684509</v>
      </c>
      <c r="E91">
        <v>1975</v>
      </c>
      <c r="F91" t="s">
        <v>795</v>
      </c>
      <c r="G91" t="s">
        <v>11</v>
      </c>
      <c r="H91" t="s">
        <v>25</v>
      </c>
    </row>
    <row r="92" spans="1:9" x14ac:dyDescent="0.2">
      <c r="A92">
        <f>_xlfn.XLOOKUP(D92, [1]Raphanus_specimens_all_2025!G:G, [1]Raphanus_specimens_all_2025!A:A, "")</f>
        <v>2278606</v>
      </c>
      <c r="B92">
        <v>2278606</v>
      </c>
      <c r="C92" t="s">
        <v>669</v>
      </c>
      <c r="D92" s="8">
        <v>74203</v>
      </c>
      <c r="E92">
        <v>1978</v>
      </c>
      <c r="F92" t="s">
        <v>720</v>
      </c>
      <c r="G92" t="s">
        <v>11</v>
      </c>
      <c r="H92" t="s">
        <v>670</v>
      </c>
    </row>
    <row r="93" spans="1:9" x14ac:dyDescent="0.2">
      <c r="A93">
        <f>_xlfn.XLOOKUP(D93, [1]Raphanus_specimens_all_2025!G:G, [1]Raphanus_specimens_all_2025!A:A, "")</f>
        <v>2314219</v>
      </c>
      <c r="B93">
        <v>2314219</v>
      </c>
      <c r="C93" t="s">
        <v>669</v>
      </c>
      <c r="D93" s="8">
        <v>74265</v>
      </c>
      <c r="E93">
        <v>1980</v>
      </c>
      <c r="F93" t="s">
        <v>713</v>
      </c>
      <c r="G93" t="s">
        <v>11</v>
      </c>
      <c r="H93" t="s">
        <v>25</v>
      </c>
    </row>
    <row r="94" spans="1:9" x14ac:dyDescent="0.2">
      <c r="A94">
        <f>_xlfn.XLOOKUP(D94, [1]Raphanus_specimens_all_2025!G:G, [1]Raphanus_specimens_all_2025!A:A, "")</f>
        <v>2315373</v>
      </c>
      <c r="B94">
        <v>2315373</v>
      </c>
      <c r="C94" t="s">
        <v>669</v>
      </c>
      <c r="D94" s="8">
        <v>74238</v>
      </c>
      <c r="E94">
        <v>1981</v>
      </c>
      <c r="F94" t="s">
        <v>752</v>
      </c>
      <c r="G94" t="s">
        <v>11</v>
      </c>
      <c r="H94" t="s">
        <v>25</v>
      </c>
      <c r="I94" t="s">
        <v>753</v>
      </c>
    </row>
    <row r="95" spans="1:9" x14ac:dyDescent="0.2">
      <c r="A95">
        <f>_xlfn.XLOOKUP(D95, [1]Raphanus_specimens_all_2025!G:G, [1]Raphanus_specimens_all_2025!A:A, "")</f>
        <v>2423284</v>
      </c>
      <c r="B95">
        <v>2423284</v>
      </c>
      <c r="C95" t="s">
        <v>669</v>
      </c>
      <c r="D95" s="8">
        <v>74315</v>
      </c>
      <c r="E95">
        <v>1981</v>
      </c>
      <c r="F95" t="s">
        <v>455</v>
      </c>
      <c r="G95" t="s">
        <v>11</v>
      </c>
      <c r="H95" t="s">
        <v>725</v>
      </c>
      <c r="I95" t="s">
        <v>741</v>
      </c>
    </row>
    <row r="96" spans="1:9" x14ac:dyDescent="0.2">
      <c r="A96">
        <f>_xlfn.XLOOKUP(D96, [1]Raphanus_specimens_all_2025!G:G, [1]Raphanus_specimens_all_2025!A:A, "")</f>
        <v>2322749</v>
      </c>
      <c r="B96">
        <v>2322749</v>
      </c>
      <c r="C96" t="s">
        <v>669</v>
      </c>
      <c r="D96" s="8">
        <v>74237</v>
      </c>
      <c r="E96">
        <v>1982</v>
      </c>
      <c r="F96" t="s">
        <v>754</v>
      </c>
      <c r="G96" t="s">
        <v>11</v>
      </c>
      <c r="H96" t="s">
        <v>25</v>
      </c>
    </row>
    <row r="97" spans="1:9" x14ac:dyDescent="0.2">
      <c r="A97">
        <f>_xlfn.XLOOKUP(D97, [1]Raphanus_specimens_all_2025!G:G, [1]Raphanus_specimens_all_2025!A:A, "")</f>
        <v>5569681</v>
      </c>
      <c r="B97">
        <v>5569681</v>
      </c>
      <c r="C97" t="s">
        <v>669</v>
      </c>
      <c r="D97" s="8">
        <v>684524</v>
      </c>
      <c r="E97">
        <v>1982</v>
      </c>
      <c r="F97" t="s">
        <v>455</v>
      </c>
      <c r="G97" t="s">
        <v>11</v>
      </c>
      <c r="H97" t="s">
        <v>25</v>
      </c>
      <c r="I97" t="s">
        <v>801</v>
      </c>
    </row>
    <row r="98" spans="1:9" x14ac:dyDescent="0.2">
      <c r="A98">
        <f>_xlfn.XLOOKUP(D98, [1]Raphanus_specimens_all_2025!G:G, [1]Raphanus_specimens_all_2025!A:A, "")</f>
        <v>2318818</v>
      </c>
      <c r="B98">
        <v>2318818</v>
      </c>
      <c r="C98" t="s">
        <v>669</v>
      </c>
      <c r="D98" s="8">
        <v>74200</v>
      </c>
      <c r="E98">
        <v>1986</v>
      </c>
      <c r="F98" t="s">
        <v>472</v>
      </c>
      <c r="G98" t="s">
        <v>11</v>
      </c>
      <c r="H98" t="s">
        <v>679</v>
      </c>
    </row>
    <row r="99" spans="1:9" x14ac:dyDescent="0.2">
      <c r="A99">
        <v>2387538</v>
      </c>
      <c r="B99">
        <v>2387538</v>
      </c>
      <c r="C99" t="s">
        <v>669</v>
      </c>
      <c r="D99" s="8">
        <v>58407</v>
      </c>
      <c r="E99">
        <v>1992</v>
      </c>
      <c r="F99" t="s">
        <v>455</v>
      </c>
      <c r="G99" t="s">
        <v>11</v>
      </c>
      <c r="H99" t="s">
        <v>685</v>
      </c>
      <c r="I99" t="s">
        <v>677</v>
      </c>
    </row>
    <row r="100" spans="1:9" x14ac:dyDescent="0.2">
      <c r="A100">
        <f>_xlfn.XLOOKUP(D100, [1]Raphanus_specimens_all_2025!G:G, [1]Raphanus_specimens_all_2025!A:A, "")</f>
        <v>2763913</v>
      </c>
      <c r="B100">
        <v>2763913</v>
      </c>
      <c r="C100" t="s">
        <v>669</v>
      </c>
      <c r="D100" s="8">
        <v>532999</v>
      </c>
      <c r="E100">
        <v>2015</v>
      </c>
      <c r="F100" t="s">
        <v>743</v>
      </c>
      <c r="G100" t="s">
        <v>11</v>
      </c>
      <c r="H100" t="s">
        <v>777</v>
      </c>
      <c r="I100" t="s">
        <v>514</v>
      </c>
    </row>
    <row r="101" spans="1:9" x14ac:dyDescent="0.2">
      <c r="A101">
        <f>_xlfn.XLOOKUP(D101, [1]Raphanus_specimens_all_2025!G:G, [1]Raphanus_specimens_all_2025!A:A, "")</f>
        <v>2413972</v>
      </c>
      <c r="B101">
        <v>2413972</v>
      </c>
      <c r="C101" t="s">
        <v>669</v>
      </c>
      <c r="D101" s="8">
        <v>74264</v>
      </c>
      <c r="E101">
        <v>1923</v>
      </c>
      <c r="F101" t="s">
        <v>798</v>
      </c>
      <c r="G101" t="s">
        <v>696</v>
      </c>
      <c r="H101" t="s">
        <v>797</v>
      </c>
      <c r="I101" t="s">
        <v>796</v>
      </c>
    </row>
    <row r="102" spans="1:9" x14ac:dyDescent="0.2">
      <c r="A102">
        <f>_xlfn.XLOOKUP(D102, [1]Raphanus_specimens_all_2025!G:G, [1]Raphanus_specimens_all_2025!A:A, "")</f>
        <v>5504863</v>
      </c>
      <c r="B102">
        <v>5504863</v>
      </c>
      <c r="C102" t="s">
        <v>669</v>
      </c>
      <c r="D102" s="8">
        <v>684502</v>
      </c>
      <c r="E102">
        <v>1962</v>
      </c>
      <c r="F102" t="s">
        <v>455</v>
      </c>
      <c r="G102" t="s">
        <v>696</v>
      </c>
      <c r="H102" t="s">
        <v>25</v>
      </c>
    </row>
    <row r="103" spans="1:9" x14ac:dyDescent="0.2">
      <c r="A103">
        <f>_xlfn.XLOOKUP(D103, [1]Raphanus_specimens_all_2025!G:G, [1]Raphanus_specimens_all_2025!A:A, "")</f>
        <v>5569679</v>
      </c>
      <c r="B103">
        <v>5569679</v>
      </c>
      <c r="C103" t="s">
        <v>669</v>
      </c>
      <c r="D103" s="8">
        <v>684522</v>
      </c>
      <c r="E103">
        <v>1966</v>
      </c>
      <c r="F103" t="s">
        <v>310</v>
      </c>
      <c r="G103" t="s">
        <v>696</v>
      </c>
      <c r="H103" t="s">
        <v>25</v>
      </c>
      <c r="I103" t="s">
        <v>790</v>
      </c>
    </row>
    <row r="104" spans="1:9" x14ac:dyDescent="0.2">
      <c r="A104">
        <f>_xlfn.XLOOKUP(D104, [1]Raphanus_specimens_all_2025!G:G, [1]Raphanus_specimens_all_2025!A:A, "")</f>
        <v>5504864</v>
      </c>
      <c r="B104">
        <v>5504864</v>
      </c>
      <c r="C104" t="s">
        <v>669</v>
      </c>
      <c r="D104" s="8">
        <v>684503</v>
      </c>
      <c r="E104">
        <v>1966</v>
      </c>
      <c r="F104" t="s">
        <v>455</v>
      </c>
      <c r="G104" t="s">
        <v>696</v>
      </c>
      <c r="H104" t="s">
        <v>670</v>
      </c>
    </row>
    <row r="105" spans="1:9" x14ac:dyDescent="0.2">
      <c r="A105">
        <f>_xlfn.XLOOKUP(D105, [1]Raphanus_specimens_all_2025!G:G, [1]Raphanus_specimens_all_2025!A:A, "")</f>
        <v>2397709</v>
      </c>
      <c r="B105">
        <v>2397709</v>
      </c>
      <c r="C105" t="s">
        <v>669</v>
      </c>
      <c r="D105" s="8">
        <v>74201</v>
      </c>
      <c r="E105">
        <v>1969</v>
      </c>
      <c r="F105" t="s">
        <v>721</v>
      </c>
      <c r="G105" t="s">
        <v>696</v>
      </c>
      <c r="H105" t="s">
        <v>714</v>
      </c>
    </row>
    <row r="106" spans="1:9" x14ac:dyDescent="0.2">
      <c r="A106">
        <f>_xlfn.XLOOKUP(D106, [1]Raphanus_specimens_all_2025!G:G, [1]Raphanus_specimens_all_2025!A:A, "")</f>
        <v>5504859</v>
      </c>
      <c r="B106">
        <v>5504859</v>
      </c>
      <c r="C106" t="s">
        <v>669</v>
      </c>
      <c r="D106" s="8">
        <v>684497</v>
      </c>
      <c r="E106">
        <v>1969</v>
      </c>
      <c r="F106" t="s">
        <v>455</v>
      </c>
      <c r="G106" t="s">
        <v>696</v>
      </c>
      <c r="H106" t="s">
        <v>670</v>
      </c>
    </row>
    <row r="107" spans="1:9" x14ac:dyDescent="0.2">
      <c r="A107">
        <f>_xlfn.XLOOKUP(D107, [1]Raphanus_specimens_all_2025!G:G, [1]Raphanus_specimens_all_2025!A:A, "")</f>
        <v>5504865</v>
      </c>
      <c r="B107">
        <v>5504865</v>
      </c>
      <c r="C107" t="s">
        <v>669</v>
      </c>
      <c r="D107" s="8">
        <v>684504</v>
      </c>
      <c r="E107">
        <v>1970</v>
      </c>
      <c r="F107" t="s">
        <v>455</v>
      </c>
      <c r="G107" t="s">
        <v>696</v>
      </c>
      <c r="H107" t="s">
        <v>683</v>
      </c>
    </row>
    <row r="108" spans="1:9" x14ac:dyDescent="0.2">
      <c r="A108">
        <f>_xlfn.XLOOKUP(D108, [1]Raphanus_specimens_all_2025!G:G, [1]Raphanus_specimens_all_2025!A:A, "")</f>
        <v>2322844</v>
      </c>
      <c r="B108">
        <v>2322844</v>
      </c>
      <c r="C108" t="s">
        <v>669</v>
      </c>
      <c r="D108" s="8">
        <v>74182</v>
      </c>
      <c r="E108">
        <v>1977</v>
      </c>
      <c r="F108" t="s">
        <v>692</v>
      </c>
      <c r="G108" t="s">
        <v>696</v>
      </c>
      <c r="H108" t="s">
        <v>25</v>
      </c>
      <c r="I108" t="s">
        <v>693</v>
      </c>
    </row>
    <row r="109" spans="1:9" x14ac:dyDescent="0.2">
      <c r="A109">
        <f>_xlfn.XLOOKUP(D109, [1]Raphanus_specimens_all_2025!G:G, [1]Raphanus_specimens_all_2025!A:A, "")</f>
        <v>2355178</v>
      </c>
      <c r="B109">
        <v>2355178</v>
      </c>
      <c r="C109" t="s">
        <v>669</v>
      </c>
      <c r="D109" s="8">
        <v>74292</v>
      </c>
      <c r="E109">
        <v>1978</v>
      </c>
      <c r="F109" t="s">
        <v>732</v>
      </c>
      <c r="G109" t="s">
        <v>696</v>
      </c>
      <c r="H109" t="s">
        <v>777</v>
      </c>
    </row>
    <row r="110" spans="1:9" x14ac:dyDescent="0.2">
      <c r="A110">
        <f>_xlfn.XLOOKUP(D110, [1]Raphanus_specimens_all_2025!G:G, [1]Raphanus_specimens_all_2025!A:A, "")</f>
        <v>5504844</v>
      </c>
      <c r="B110">
        <v>5504844</v>
      </c>
      <c r="C110" t="s">
        <v>669</v>
      </c>
      <c r="D110" s="8">
        <v>684481</v>
      </c>
      <c r="E110">
        <v>1969</v>
      </c>
      <c r="F110" t="s">
        <v>472</v>
      </c>
      <c r="G110" t="s">
        <v>678</v>
      </c>
      <c r="H110" t="s">
        <v>670</v>
      </c>
      <c r="I110" t="s">
        <v>677</v>
      </c>
    </row>
    <row r="111" spans="1:9" x14ac:dyDescent="0.2">
      <c r="A111">
        <f>_xlfn.XLOOKUP(D111, [1]Raphanus_specimens_all_2025!G:G, [1]Raphanus_specimens_all_2025!A:A, "")</f>
        <v>2405523</v>
      </c>
      <c r="B111">
        <v>2405523</v>
      </c>
      <c r="C111" t="s">
        <v>669</v>
      </c>
      <c r="D111" s="8">
        <v>74175</v>
      </c>
      <c r="E111">
        <v>1937</v>
      </c>
      <c r="F111" t="s">
        <v>739</v>
      </c>
      <c r="G111" t="s">
        <v>429</v>
      </c>
      <c r="H111" t="s">
        <v>97</v>
      </c>
      <c r="I111" t="s">
        <v>740</v>
      </c>
    </row>
    <row r="112" spans="1:9" x14ac:dyDescent="0.2">
      <c r="A112">
        <f>_xlfn.XLOOKUP(D112, [1]Raphanus_specimens_all_2025!G:G, [1]Raphanus_specimens_all_2025!A:A, "")</f>
        <v>2370292</v>
      </c>
      <c r="B112">
        <v>2370292</v>
      </c>
      <c r="C112" t="s">
        <v>669</v>
      </c>
      <c r="D112" s="8">
        <v>74202</v>
      </c>
      <c r="E112">
        <v>1954</v>
      </c>
      <c r="F112" t="s">
        <v>721</v>
      </c>
      <c r="G112" t="s">
        <v>429</v>
      </c>
      <c r="H112" t="s">
        <v>670</v>
      </c>
    </row>
    <row r="113" spans="1:10" x14ac:dyDescent="0.2">
      <c r="A113">
        <f>_xlfn.XLOOKUP(D113, [1]Raphanus_specimens_all_2025!G:G, [1]Raphanus_specimens_all_2025!A:A, "")</f>
        <v>2393985</v>
      </c>
      <c r="B113">
        <v>2393985</v>
      </c>
      <c r="C113" t="s">
        <v>669</v>
      </c>
      <c r="D113" s="8">
        <v>74296</v>
      </c>
      <c r="E113">
        <v>1903</v>
      </c>
      <c r="F113" t="s">
        <v>440</v>
      </c>
      <c r="G113" t="s">
        <v>816</v>
      </c>
      <c r="H113" t="s">
        <v>25</v>
      </c>
      <c r="I113" t="s">
        <v>815</v>
      </c>
    </row>
    <row r="114" spans="1:10" x14ac:dyDescent="0.2">
      <c r="A114">
        <f>_xlfn.XLOOKUP(D114, [1]Raphanus_specimens_all_2025!G:G, [1]Raphanus_specimens_all_2025!A:A, "")</f>
        <v>2446662</v>
      </c>
      <c r="B114">
        <v>2446662</v>
      </c>
      <c r="C114" t="s">
        <v>669</v>
      </c>
      <c r="D114" s="8">
        <v>74295</v>
      </c>
      <c r="E114">
        <v>1903</v>
      </c>
      <c r="F114" t="s">
        <v>695</v>
      </c>
      <c r="G114" t="s">
        <v>816</v>
      </c>
    </row>
    <row r="115" spans="1:10" x14ac:dyDescent="0.2">
      <c r="A115">
        <f>_xlfn.XLOOKUP(D115, [1]Raphanus_specimens_all_2025!G:G, [1]Raphanus_specimens_all_2025!A:A, "")</f>
        <v>2336537</v>
      </c>
      <c r="B115">
        <v>2336537</v>
      </c>
      <c r="C115" t="s">
        <v>669</v>
      </c>
      <c r="D115" s="8">
        <v>74243</v>
      </c>
      <c r="E115">
        <v>1916</v>
      </c>
      <c r="F115" t="s">
        <v>732</v>
      </c>
      <c r="G115" t="s">
        <v>733</v>
      </c>
      <c r="H115" t="s">
        <v>25</v>
      </c>
      <c r="J115" t="s">
        <v>749</v>
      </c>
    </row>
    <row r="116" spans="1:10" x14ac:dyDescent="0.2">
      <c r="A116">
        <f>_xlfn.XLOOKUP(D116, [1]Raphanus_specimens_all_2025!G:G, [1]Raphanus_specimens_all_2025!A:A, "")</f>
        <v>2463835</v>
      </c>
      <c r="B116">
        <v>2463835</v>
      </c>
      <c r="C116" t="s">
        <v>669</v>
      </c>
      <c r="D116">
        <v>74205</v>
      </c>
      <c r="E116">
        <v>1930</v>
      </c>
      <c r="F116" t="s">
        <v>742</v>
      </c>
      <c r="G116" t="s">
        <v>369</v>
      </c>
      <c r="H116" t="s">
        <v>78</v>
      </c>
      <c r="I116" t="s">
        <v>722</v>
      </c>
    </row>
    <row r="117" spans="1:10" x14ac:dyDescent="0.2">
      <c r="A117">
        <f>_xlfn.XLOOKUP(D117, [1]Raphanus_specimens_all_2025!G:G, [1]Raphanus_specimens_all_2025!A:A, "")</f>
        <v>2391912</v>
      </c>
      <c r="B117">
        <v>2391912</v>
      </c>
      <c r="C117" t="s">
        <v>669</v>
      </c>
      <c r="D117" s="8">
        <v>74211</v>
      </c>
      <c r="E117">
        <v>1964</v>
      </c>
      <c r="F117" t="s">
        <v>726</v>
      </c>
      <c r="G117" t="s">
        <v>369</v>
      </c>
      <c r="H117" t="s">
        <v>725</v>
      </c>
    </row>
    <row r="118" spans="1:10" x14ac:dyDescent="0.2">
      <c r="A118">
        <f>_xlfn.XLOOKUP(D118, [1]Raphanus_specimens_all_2025!G:G, [1]Raphanus_specimens_all_2025!A:A, "")</f>
        <v>2404723</v>
      </c>
      <c r="B118">
        <v>2404723</v>
      </c>
      <c r="C118" t="s">
        <v>669</v>
      </c>
      <c r="D118" s="8">
        <v>74228</v>
      </c>
      <c r="E118">
        <v>1975</v>
      </c>
      <c r="F118" t="s">
        <v>760</v>
      </c>
      <c r="G118" t="s">
        <v>369</v>
      </c>
      <c r="H118" t="s">
        <v>759</v>
      </c>
    </row>
    <row r="119" spans="1:10" x14ac:dyDescent="0.2">
      <c r="A119">
        <f>_xlfn.XLOOKUP(D119, [1]Raphanus_specimens_all_2025!G:G, [1]Raphanus_specimens_all_2025!A:A, "")</f>
        <v>2308947</v>
      </c>
      <c r="B119">
        <v>2308947</v>
      </c>
      <c r="C119" t="s">
        <v>669</v>
      </c>
      <c r="D119" s="8">
        <v>74179</v>
      </c>
      <c r="E119">
        <v>1980</v>
      </c>
      <c r="F119" t="s">
        <v>682</v>
      </c>
      <c r="G119" t="s">
        <v>369</v>
      </c>
      <c r="H119" t="s">
        <v>306</v>
      </c>
    </row>
    <row r="120" spans="1:10" x14ac:dyDescent="0.2">
      <c r="A120">
        <f>_xlfn.XLOOKUP(D120, [1]Raphanus_specimens_all_2025!G:G, [1]Raphanus_specimens_all_2025!A:A, "")</f>
        <v>2287409</v>
      </c>
      <c r="B120">
        <v>2287409</v>
      </c>
      <c r="C120" t="s">
        <v>669</v>
      </c>
      <c r="D120" s="8">
        <v>74310</v>
      </c>
      <c r="E120">
        <v>1982</v>
      </c>
      <c r="F120" t="s">
        <v>719</v>
      </c>
      <c r="G120" t="s">
        <v>369</v>
      </c>
      <c r="H120" t="s">
        <v>635</v>
      </c>
    </row>
    <row r="121" spans="1:10" x14ac:dyDescent="0.2">
      <c r="A121">
        <f>_xlfn.XLOOKUP(D121, [1]Raphanus_specimens_all_2025!G:G, [1]Raphanus_specimens_all_2025!A:A, "")</f>
        <v>2369931</v>
      </c>
      <c r="B121">
        <v>2369931</v>
      </c>
      <c r="C121" t="s">
        <v>669</v>
      </c>
      <c r="D121" s="8">
        <v>74273</v>
      </c>
      <c r="E121">
        <v>1958</v>
      </c>
      <c r="F121" t="s">
        <v>713</v>
      </c>
      <c r="G121" t="s">
        <v>583</v>
      </c>
      <c r="H121" t="s">
        <v>725</v>
      </c>
    </row>
    <row r="122" spans="1:10" x14ac:dyDescent="0.2">
      <c r="A122" s="14" t="s">
        <v>1272</v>
      </c>
      <c r="B122" t="s">
        <v>845</v>
      </c>
      <c r="C122" t="s">
        <v>669</v>
      </c>
      <c r="D122" s="8">
        <v>74342</v>
      </c>
      <c r="E122">
        <v>1897</v>
      </c>
      <c r="F122" t="s">
        <v>748</v>
      </c>
      <c r="G122" t="s">
        <v>437</v>
      </c>
      <c r="H122" t="s">
        <v>635</v>
      </c>
    </row>
    <row r="123" spans="1:10" x14ac:dyDescent="0.2">
      <c r="A123">
        <f>_xlfn.XLOOKUP(D123, [1]Raphanus_specimens_all_2025!G:G, [1]Raphanus_specimens_all_2025!A:A, "")</f>
        <v>2336172</v>
      </c>
      <c r="B123">
        <v>2336172</v>
      </c>
      <c r="C123" t="s">
        <v>669</v>
      </c>
      <c r="D123" s="8">
        <v>74305</v>
      </c>
      <c r="E123">
        <v>1907</v>
      </c>
      <c r="F123" t="s">
        <v>820</v>
      </c>
      <c r="G123" t="s">
        <v>437</v>
      </c>
      <c r="H123" t="s">
        <v>819</v>
      </c>
    </row>
    <row r="124" spans="1:10" x14ac:dyDescent="0.2">
      <c r="A124">
        <f>_xlfn.XLOOKUP(D124, [1]Raphanus_specimens_all_2025!G:G, [1]Raphanus_specimens_all_2025!A:A, "")</f>
        <v>2446817</v>
      </c>
      <c r="B124">
        <v>2446817</v>
      </c>
      <c r="C124" t="s">
        <v>669</v>
      </c>
      <c r="D124" s="8">
        <v>74250</v>
      </c>
      <c r="E124">
        <v>1921</v>
      </c>
      <c r="F124" t="s">
        <v>780</v>
      </c>
      <c r="G124" t="s">
        <v>437</v>
      </c>
      <c r="H124" t="s">
        <v>670</v>
      </c>
      <c r="I124" t="s">
        <v>781</v>
      </c>
    </row>
    <row r="125" spans="1:10" x14ac:dyDescent="0.2">
      <c r="A125">
        <f>_xlfn.XLOOKUP(D125, [1]Raphanus_specimens_all_2025!G:G, [1]Raphanus_specimens_all_2025!A:A, "")</f>
        <v>2388593</v>
      </c>
      <c r="B125">
        <v>2388593</v>
      </c>
      <c r="C125" t="s">
        <v>669</v>
      </c>
      <c r="D125" s="8">
        <v>74249</v>
      </c>
      <c r="E125">
        <v>1921</v>
      </c>
      <c r="F125" t="s">
        <v>491</v>
      </c>
      <c r="G125" t="s">
        <v>437</v>
      </c>
      <c r="H125" t="s">
        <v>635</v>
      </c>
      <c r="I125" t="s">
        <v>781</v>
      </c>
    </row>
    <row r="126" spans="1:10" x14ac:dyDescent="0.2">
      <c r="A126">
        <f>_xlfn.XLOOKUP(D126, [1]Raphanus_specimens_all_2025!G:G, [1]Raphanus_specimens_all_2025!A:A, "")</f>
        <v>2360184</v>
      </c>
      <c r="B126">
        <v>2360184</v>
      </c>
      <c r="C126" t="s">
        <v>669</v>
      </c>
      <c r="D126">
        <v>74357</v>
      </c>
      <c r="E126">
        <v>1953</v>
      </c>
      <c r="F126" t="s">
        <v>713</v>
      </c>
      <c r="G126" t="s">
        <v>437</v>
      </c>
      <c r="H126" t="s">
        <v>783</v>
      </c>
    </row>
    <row r="127" spans="1:10" x14ac:dyDescent="0.2">
      <c r="A127">
        <f>_xlfn.XLOOKUP(D127, [1]Raphanus_specimens_all_2025!G:G, [1]Raphanus_specimens_all_2025!A:A, "")</f>
        <v>2275918</v>
      </c>
      <c r="B127">
        <v>2275918</v>
      </c>
      <c r="C127" t="s">
        <v>669</v>
      </c>
      <c r="D127">
        <v>74350</v>
      </c>
      <c r="E127">
        <v>1953</v>
      </c>
      <c r="F127" t="s">
        <v>671</v>
      </c>
      <c r="G127" t="s">
        <v>437</v>
      </c>
      <c r="H127" t="s">
        <v>25</v>
      </c>
    </row>
    <row r="128" spans="1:10" x14ac:dyDescent="0.2">
      <c r="A128">
        <f>_xlfn.XLOOKUP(D128, [1]Raphanus_specimens_all_2025!G:G, [1]Raphanus_specimens_all_2025!A:A, "")</f>
        <v>2380407</v>
      </c>
      <c r="B128">
        <v>2380407</v>
      </c>
      <c r="C128" t="s">
        <v>669</v>
      </c>
      <c r="D128">
        <v>74360</v>
      </c>
      <c r="E128">
        <v>1954</v>
      </c>
      <c r="F128" t="s">
        <v>503</v>
      </c>
      <c r="G128" t="s">
        <v>437</v>
      </c>
      <c r="H128" t="s">
        <v>25</v>
      </c>
      <c r="I128" t="s">
        <v>846</v>
      </c>
    </row>
    <row r="129" spans="1:10" x14ac:dyDescent="0.2">
      <c r="A129">
        <f>_xlfn.XLOOKUP(D129, [1]Raphanus_specimens_all_2025!G:G, [1]Raphanus_specimens_all_2025!A:A, "")</f>
        <v>2287008</v>
      </c>
      <c r="B129">
        <v>2287008</v>
      </c>
      <c r="C129" t="s">
        <v>669</v>
      </c>
      <c r="D129" s="8">
        <v>74320</v>
      </c>
      <c r="E129">
        <v>1956</v>
      </c>
      <c r="F129" t="s">
        <v>671</v>
      </c>
      <c r="G129" t="s">
        <v>437</v>
      </c>
      <c r="H129" t="s">
        <v>553</v>
      </c>
    </row>
    <row r="130" spans="1:10" x14ac:dyDescent="0.2">
      <c r="A130">
        <f>_xlfn.XLOOKUP(D130, [1]Raphanus_specimens_all_2025!G:G, [1]Raphanus_specimens_all_2025!A:A, "")</f>
        <v>2391489</v>
      </c>
      <c r="B130">
        <v>2391489</v>
      </c>
      <c r="C130" t="s">
        <v>669</v>
      </c>
      <c r="D130">
        <v>74332</v>
      </c>
      <c r="E130">
        <v>1956</v>
      </c>
      <c r="F130" t="s">
        <v>794</v>
      </c>
      <c r="G130" t="s">
        <v>437</v>
      </c>
      <c r="H130" t="s">
        <v>670</v>
      </c>
    </row>
    <row r="131" spans="1:10" x14ac:dyDescent="0.2">
      <c r="A131">
        <f>_xlfn.XLOOKUP(D131, [1]Raphanus_specimens_all_2025!G:G, [1]Raphanus_specimens_all_2025!A:A, "")</f>
        <v>2300993</v>
      </c>
      <c r="B131">
        <v>2300993</v>
      </c>
      <c r="C131" t="s">
        <v>669</v>
      </c>
      <c r="D131" s="8">
        <v>74325</v>
      </c>
      <c r="E131">
        <v>1957</v>
      </c>
      <c r="F131" t="s">
        <v>698</v>
      </c>
      <c r="G131" t="s">
        <v>437</v>
      </c>
      <c r="H131" t="s">
        <v>25</v>
      </c>
    </row>
    <row r="132" spans="1:10" x14ac:dyDescent="0.2">
      <c r="A132">
        <f>_xlfn.XLOOKUP(D132, [1]Raphanus_specimens_all_2025!G:G, [1]Raphanus_specimens_all_2025!A:A, "")</f>
        <v>2420423</v>
      </c>
      <c r="B132">
        <v>2420423</v>
      </c>
      <c r="C132" t="s">
        <v>669</v>
      </c>
      <c r="D132" s="8">
        <v>74322</v>
      </c>
      <c r="E132">
        <v>1957</v>
      </c>
      <c r="F132" t="s">
        <v>818</v>
      </c>
      <c r="G132" t="s">
        <v>437</v>
      </c>
      <c r="H132" t="s">
        <v>635</v>
      </c>
    </row>
    <row r="133" spans="1:10" x14ac:dyDescent="0.2">
      <c r="A133">
        <f>_xlfn.XLOOKUP(D133, [1]Raphanus_specimens_all_2025!G:G, [1]Raphanus_specimens_all_2025!A:A, "")</f>
        <v>2406304</v>
      </c>
      <c r="B133">
        <v>2406304</v>
      </c>
      <c r="C133" t="s">
        <v>669</v>
      </c>
      <c r="D133" s="8">
        <v>74326</v>
      </c>
      <c r="E133">
        <v>1960</v>
      </c>
      <c r="F133" t="s">
        <v>503</v>
      </c>
      <c r="G133" t="s">
        <v>437</v>
      </c>
      <c r="H133" t="s">
        <v>25</v>
      </c>
    </row>
    <row r="134" spans="1:10" x14ac:dyDescent="0.2">
      <c r="A134">
        <f>_xlfn.XLOOKUP(D134, [1]Raphanus_specimens_all_2025!G:G, [1]Raphanus_specimens_all_2025!A:A, "")</f>
        <v>2298121</v>
      </c>
      <c r="B134">
        <v>2298121</v>
      </c>
      <c r="C134" t="s">
        <v>669</v>
      </c>
      <c r="D134" s="8">
        <v>74191</v>
      </c>
      <c r="E134">
        <v>1961</v>
      </c>
      <c r="F134" t="s">
        <v>715</v>
      </c>
      <c r="G134" t="s">
        <v>437</v>
      </c>
      <c r="H134" t="s">
        <v>670</v>
      </c>
    </row>
    <row r="135" spans="1:10" x14ac:dyDescent="0.2">
      <c r="A135">
        <f>_xlfn.XLOOKUP(D135, [1]Raphanus_specimens_all_2025!G:G, [1]Raphanus_specimens_all_2025!A:A, "")</f>
        <v>2390281</v>
      </c>
      <c r="B135">
        <v>2390281</v>
      </c>
      <c r="C135" t="s">
        <v>669</v>
      </c>
      <c r="D135" s="8">
        <v>74318</v>
      </c>
      <c r="E135">
        <v>1964</v>
      </c>
      <c r="F135" t="s">
        <v>455</v>
      </c>
      <c r="G135" t="s">
        <v>437</v>
      </c>
      <c r="H135" t="s">
        <v>25</v>
      </c>
    </row>
    <row r="136" spans="1:10" x14ac:dyDescent="0.2">
      <c r="A136">
        <f>_xlfn.XLOOKUP(D136, [1]Raphanus_specimens_all_2025!G:G, [1]Raphanus_specimens_all_2025!A:A, "")</f>
        <v>5569855</v>
      </c>
      <c r="B136">
        <v>5569855</v>
      </c>
      <c r="C136" t="s">
        <v>669</v>
      </c>
      <c r="D136">
        <v>685183</v>
      </c>
      <c r="E136">
        <v>1966</v>
      </c>
      <c r="F136" t="s">
        <v>671</v>
      </c>
      <c r="G136" t="s">
        <v>437</v>
      </c>
      <c r="H136" t="s">
        <v>25</v>
      </c>
      <c r="I136" t="s">
        <v>853</v>
      </c>
    </row>
    <row r="137" spans="1:10" x14ac:dyDescent="0.2">
      <c r="A137">
        <f>_xlfn.XLOOKUP(D137, [1]Raphanus_specimens_all_2025!G:G, [1]Raphanus_specimens_all_2025!A:A, "")</f>
        <v>2452819</v>
      </c>
      <c r="B137">
        <v>2452819</v>
      </c>
      <c r="C137" t="s">
        <v>669</v>
      </c>
      <c r="D137" s="8">
        <v>74300</v>
      </c>
      <c r="E137">
        <v>1970</v>
      </c>
      <c r="F137" t="s">
        <v>824</v>
      </c>
      <c r="G137" t="s">
        <v>437</v>
      </c>
      <c r="I137" t="s">
        <v>822</v>
      </c>
    </row>
    <row r="138" spans="1:10" x14ac:dyDescent="0.2">
      <c r="A138" t="s">
        <v>845</v>
      </c>
      <c r="B138" t="s">
        <v>845</v>
      </c>
      <c r="C138" t="s">
        <v>669</v>
      </c>
      <c r="D138">
        <v>685179</v>
      </c>
      <c r="E138">
        <v>1972</v>
      </c>
      <c r="F138" t="s">
        <v>854</v>
      </c>
      <c r="G138" t="s">
        <v>437</v>
      </c>
      <c r="H138" t="s">
        <v>777</v>
      </c>
    </row>
    <row r="139" spans="1:10" x14ac:dyDescent="0.2">
      <c r="A139">
        <f>_xlfn.XLOOKUP(D139, [1]Raphanus_specimens_all_2025!G:G, [1]Raphanus_specimens_all_2025!A:A, "")</f>
        <v>2363992</v>
      </c>
      <c r="B139">
        <v>2363992</v>
      </c>
      <c r="C139" t="s">
        <v>669</v>
      </c>
      <c r="D139" s="8">
        <v>74220</v>
      </c>
      <c r="E139">
        <v>1916</v>
      </c>
      <c r="F139" t="s">
        <v>768</v>
      </c>
      <c r="G139" t="s">
        <v>18</v>
      </c>
      <c r="H139" t="s">
        <v>25</v>
      </c>
      <c r="J139" t="s">
        <v>769</v>
      </c>
    </row>
    <row r="140" spans="1:10" x14ac:dyDescent="0.2">
      <c r="A140">
        <f>_xlfn.XLOOKUP(D140, [1]Raphanus_specimens_all_2025!G:G, [1]Raphanus_specimens_all_2025!A:A, "")</f>
        <v>2368640</v>
      </c>
      <c r="B140">
        <v>2368640</v>
      </c>
      <c r="C140" t="s">
        <v>669</v>
      </c>
      <c r="D140" s="8">
        <v>74209</v>
      </c>
      <c r="E140">
        <v>1920</v>
      </c>
      <c r="F140" t="s">
        <v>298</v>
      </c>
      <c r="G140" t="s">
        <v>18</v>
      </c>
      <c r="H140" t="s">
        <v>670</v>
      </c>
    </row>
    <row r="141" spans="1:10" x14ac:dyDescent="0.2">
      <c r="A141">
        <f>_xlfn.XLOOKUP(D141, [1]Raphanus_specimens_all_2025!G:G, [1]Raphanus_specimens_all_2025!A:A, "")</f>
        <v>2352540</v>
      </c>
      <c r="B141">
        <v>2352540</v>
      </c>
      <c r="C141" t="s">
        <v>669</v>
      </c>
      <c r="D141" s="8">
        <v>74248</v>
      </c>
      <c r="E141">
        <v>1921</v>
      </c>
      <c r="F141" t="s">
        <v>472</v>
      </c>
      <c r="G141" t="s">
        <v>18</v>
      </c>
      <c r="H141" t="s">
        <v>670</v>
      </c>
      <c r="I141" t="s">
        <v>781</v>
      </c>
    </row>
    <row r="142" spans="1:10" x14ac:dyDescent="0.2">
      <c r="A142">
        <f>_xlfn.XLOOKUP(D142, [1]Raphanus_specimens_all_2025!G:G, [1]Raphanus_specimens_all_2025!A:A, "")</f>
        <v>2311023</v>
      </c>
      <c r="B142">
        <v>2311023</v>
      </c>
      <c r="C142" t="s">
        <v>669</v>
      </c>
      <c r="D142" s="8">
        <v>74259</v>
      </c>
      <c r="E142">
        <v>1925</v>
      </c>
      <c r="F142" t="s">
        <v>455</v>
      </c>
      <c r="G142" t="s">
        <v>18</v>
      </c>
      <c r="H142" t="s">
        <v>670</v>
      </c>
    </row>
    <row r="143" spans="1:10" x14ac:dyDescent="0.2">
      <c r="A143">
        <f>_xlfn.XLOOKUP(D143, [1]Raphanus_specimens_all_2025!G:G, [1]Raphanus_specimens_all_2025!A:A, "")</f>
        <v>2771954</v>
      </c>
      <c r="B143">
        <v>2771954</v>
      </c>
      <c r="C143" t="s">
        <v>669</v>
      </c>
      <c r="D143" s="8">
        <v>550563</v>
      </c>
      <c r="E143">
        <v>1937</v>
      </c>
      <c r="F143" t="s">
        <v>529</v>
      </c>
      <c r="G143" t="s">
        <v>18</v>
      </c>
      <c r="H143" t="s">
        <v>670</v>
      </c>
      <c r="I143" t="s">
        <v>811</v>
      </c>
    </row>
    <row r="144" spans="1:10" x14ac:dyDescent="0.2">
      <c r="A144">
        <f>_xlfn.XLOOKUP(D144, [1]Raphanus_specimens_all_2025!G:G, [1]Raphanus_specimens_all_2025!A:A, "")</f>
        <v>2423815</v>
      </c>
      <c r="B144">
        <v>2423815</v>
      </c>
      <c r="C144" t="s">
        <v>669</v>
      </c>
      <c r="D144" s="8">
        <v>74252</v>
      </c>
      <c r="E144">
        <v>1943</v>
      </c>
      <c r="F144" t="s">
        <v>472</v>
      </c>
      <c r="G144" t="s">
        <v>18</v>
      </c>
      <c r="H144" t="s">
        <v>635</v>
      </c>
      <c r="I144" t="s">
        <v>778</v>
      </c>
    </row>
    <row r="145" spans="1:9" x14ac:dyDescent="0.2">
      <c r="A145">
        <f>_xlfn.XLOOKUP(D145, [1]Raphanus_specimens_all_2025!G:G, [1]Raphanus_specimens_all_2025!A:A, "")</f>
        <v>2270810</v>
      </c>
      <c r="B145">
        <v>2270810</v>
      </c>
      <c r="C145" t="s">
        <v>669</v>
      </c>
      <c r="D145">
        <v>74353</v>
      </c>
      <c r="E145">
        <v>1950</v>
      </c>
      <c r="F145" t="s">
        <v>843</v>
      </c>
      <c r="G145" t="s">
        <v>18</v>
      </c>
      <c r="H145" t="s">
        <v>791</v>
      </c>
      <c r="I145" t="s">
        <v>842</v>
      </c>
    </row>
    <row r="146" spans="1:9" x14ac:dyDescent="0.2">
      <c r="A146">
        <f>_xlfn.XLOOKUP(D146, [1]Raphanus_specimens_all_2025!G:G, [1]Raphanus_specimens_all_2025!A:A, "")</f>
        <v>2393459</v>
      </c>
      <c r="B146">
        <v>2393459</v>
      </c>
      <c r="C146" t="s">
        <v>669</v>
      </c>
      <c r="D146" s="8">
        <v>74206</v>
      </c>
      <c r="E146">
        <v>1958</v>
      </c>
      <c r="F146" t="s">
        <v>718</v>
      </c>
      <c r="G146" t="s">
        <v>18</v>
      </c>
      <c r="H146" t="s">
        <v>670</v>
      </c>
      <c r="I146" t="s">
        <v>741</v>
      </c>
    </row>
    <row r="147" spans="1:9" x14ac:dyDescent="0.2">
      <c r="A147">
        <f>_xlfn.XLOOKUP(D147, [1]Raphanus_specimens_all_2025!G:G, [1]Raphanus_specimens_all_2025!A:A, "")</f>
        <v>2456431</v>
      </c>
      <c r="B147">
        <v>2456431</v>
      </c>
      <c r="C147" t="s">
        <v>669</v>
      </c>
      <c r="D147" s="8">
        <v>74282</v>
      </c>
      <c r="E147">
        <v>1959</v>
      </c>
      <c r="F147" t="s">
        <v>455</v>
      </c>
      <c r="G147" t="s">
        <v>18</v>
      </c>
      <c r="H147" t="s">
        <v>791</v>
      </c>
    </row>
    <row r="148" spans="1:9" x14ac:dyDescent="0.2">
      <c r="A148">
        <f>_xlfn.XLOOKUP(D148, [1]Raphanus_specimens_all_2025!G:G, [1]Raphanus_specimens_all_2025!A:A, "")</f>
        <v>5504856</v>
      </c>
      <c r="B148">
        <v>5504856</v>
      </c>
      <c r="C148" t="s">
        <v>669</v>
      </c>
      <c r="D148" s="8">
        <v>684493</v>
      </c>
      <c r="E148">
        <v>1962</v>
      </c>
      <c r="F148" t="s">
        <v>774</v>
      </c>
      <c r="G148" t="s">
        <v>18</v>
      </c>
      <c r="H148" t="s">
        <v>25</v>
      </c>
    </row>
    <row r="149" spans="1:9" x14ac:dyDescent="0.2">
      <c r="A149">
        <f>_xlfn.XLOOKUP(D149, [1]Raphanus_specimens_all_2025!G:G, [1]Raphanus_specimens_all_2025!A:A, "")</f>
        <v>2388759</v>
      </c>
      <c r="B149">
        <v>2388759</v>
      </c>
      <c r="C149" t="s">
        <v>669</v>
      </c>
      <c r="D149" s="8">
        <v>74306</v>
      </c>
      <c r="E149">
        <v>1963</v>
      </c>
      <c r="F149" t="s">
        <v>818</v>
      </c>
      <c r="G149" t="s">
        <v>18</v>
      </c>
      <c r="H149" t="s">
        <v>670</v>
      </c>
      <c r="I149" t="s">
        <v>817</v>
      </c>
    </row>
    <row r="150" spans="1:9" x14ac:dyDescent="0.2">
      <c r="A150">
        <f>_xlfn.XLOOKUP(D150, [1]Raphanus_specimens_all_2025!G:G, [1]Raphanus_specimens_all_2025!A:A, "")</f>
        <v>5504875</v>
      </c>
      <c r="B150">
        <v>5504875</v>
      </c>
      <c r="C150" t="s">
        <v>669</v>
      </c>
      <c r="D150" s="8">
        <v>684514</v>
      </c>
      <c r="E150">
        <v>1964</v>
      </c>
      <c r="F150" t="s">
        <v>472</v>
      </c>
      <c r="G150" t="s">
        <v>18</v>
      </c>
      <c r="H150" t="s">
        <v>25</v>
      </c>
    </row>
    <row r="151" spans="1:9" x14ac:dyDescent="0.2">
      <c r="A151">
        <f>_xlfn.XLOOKUP(D151, [1]Raphanus_specimens_all_2025!G:G, [1]Raphanus_specimens_all_2025!A:A, "")</f>
        <v>2359565</v>
      </c>
      <c r="B151">
        <v>2359565</v>
      </c>
      <c r="C151" t="s">
        <v>669</v>
      </c>
      <c r="D151" s="8">
        <v>74193</v>
      </c>
      <c r="E151">
        <v>1966</v>
      </c>
      <c r="F151" t="s">
        <v>718</v>
      </c>
      <c r="G151" t="s">
        <v>18</v>
      </c>
      <c r="H151" t="s">
        <v>670</v>
      </c>
    </row>
    <row r="152" spans="1:9" x14ac:dyDescent="0.2">
      <c r="A152">
        <f>_xlfn.XLOOKUP(D152, [1]Raphanus_specimens_all_2025!G:G, [1]Raphanus_specimens_all_2025!A:A, "")</f>
        <v>5504871</v>
      </c>
      <c r="B152">
        <v>5504871</v>
      </c>
      <c r="C152" t="s">
        <v>669</v>
      </c>
      <c r="D152" s="8">
        <v>684510</v>
      </c>
      <c r="E152">
        <v>1966</v>
      </c>
      <c r="F152" t="s">
        <v>472</v>
      </c>
      <c r="G152" t="s">
        <v>18</v>
      </c>
      <c r="H152" t="s">
        <v>25</v>
      </c>
    </row>
    <row r="153" spans="1:9" x14ac:dyDescent="0.2">
      <c r="A153">
        <f>_xlfn.XLOOKUP(D153, [1]Raphanus_specimens_all_2025!G:G, [1]Raphanus_specimens_all_2025!A:A, "")</f>
        <v>2290954</v>
      </c>
      <c r="B153">
        <v>2290954</v>
      </c>
      <c r="C153" t="s">
        <v>669</v>
      </c>
      <c r="D153" s="8">
        <v>74257</v>
      </c>
      <c r="E153">
        <v>1968</v>
      </c>
      <c r="F153" t="s">
        <v>455</v>
      </c>
      <c r="G153" t="s">
        <v>18</v>
      </c>
      <c r="H153" t="s">
        <v>25</v>
      </c>
      <c r="I153" t="s">
        <v>753</v>
      </c>
    </row>
    <row r="154" spans="1:9" x14ac:dyDescent="0.2">
      <c r="A154">
        <f>_xlfn.XLOOKUP(D154, [1]Raphanus_specimens_all_2025!G:G, [1]Raphanus_specimens_all_2025!A:A, "")</f>
        <v>2328064</v>
      </c>
      <c r="B154">
        <v>2328064</v>
      </c>
      <c r="C154" t="s">
        <v>669</v>
      </c>
      <c r="D154" s="8">
        <v>74256</v>
      </c>
      <c r="E154">
        <v>1968</v>
      </c>
      <c r="F154" t="s">
        <v>735</v>
      </c>
      <c r="G154" t="s">
        <v>18</v>
      </c>
      <c r="H154" t="s">
        <v>25</v>
      </c>
      <c r="I154" t="s">
        <v>753</v>
      </c>
    </row>
    <row r="155" spans="1:9" x14ac:dyDescent="0.2">
      <c r="A155">
        <f>_xlfn.XLOOKUP(D155, [1]Raphanus_specimens_all_2025!G:G, [1]Raphanus_specimens_all_2025!A:A, "")</f>
        <v>2272859</v>
      </c>
      <c r="B155">
        <v>2272859</v>
      </c>
      <c r="C155" t="s">
        <v>669</v>
      </c>
      <c r="D155" s="8">
        <v>74258</v>
      </c>
      <c r="E155">
        <v>1969</v>
      </c>
      <c r="F155" t="s">
        <v>776</v>
      </c>
      <c r="G155" t="s">
        <v>18</v>
      </c>
      <c r="H155" t="s">
        <v>670</v>
      </c>
      <c r="I155" t="s">
        <v>753</v>
      </c>
    </row>
    <row r="156" spans="1:9" x14ac:dyDescent="0.2">
      <c r="A156">
        <f>_xlfn.XLOOKUP(D156, [1]Raphanus_specimens_all_2025!G:G, [1]Raphanus_specimens_all_2025!A:A, "")</f>
        <v>2406880</v>
      </c>
      <c r="B156">
        <v>2406880</v>
      </c>
      <c r="C156" t="s">
        <v>669</v>
      </c>
      <c r="D156">
        <v>74339</v>
      </c>
      <c r="E156">
        <v>1973</v>
      </c>
      <c r="F156" t="s">
        <v>719</v>
      </c>
      <c r="G156" t="s">
        <v>18</v>
      </c>
      <c r="H156" t="s">
        <v>670</v>
      </c>
      <c r="I156" t="s">
        <v>514</v>
      </c>
    </row>
    <row r="157" spans="1:9" x14ac:dyDescent="0.2">
      <c r="A157">
        <f>_xlfn.XLOOKUP(D157, [1]Raphanus_specimens_all_2025!G:G, [1]Raphanus_specimens_all_2025!A:A, "")</f>
        <v>2395241</v>
      </c>
      <c r="B157">
        <v>2395241</v>
      </c>
      <c r="C157" t="s">
        <v>669</v>
      </c>
      <c r="D157">
        <v>74351</v>
      </c>
      <c r="E157">
        <v>1974</v>
      </c>
      <c r="F157" t="s">
        <v>823</v>
      </c>
      <c r="G157" t="s">
        <v>18</v>
      </c>
      <c r="H157" t="s">
        <v>676</v>
      </c>
    </row>
    <row r="158" spans="1:9" x14ac:dyDescent="0.2">
      <c r="A158">
        <f>_xlfn.XLOOKUP(D158, [1]Raphanus_specimens_all_2025!G:G, [1]Raphanus_specimens_all_2025!A:A, "")</f>
        <v>2355610</v>
      </c>
      <c r="B158">
        <v>2355610</v>
      </c>
      <c r="C158" t="s">
        <v>669</v>
      </c>
      <c r="D158" s="8">
        <v>74204</v>
      </c>
      <c r="E158">
        <v>1990</v>
      </c>
      <c r="F158" t="s">
        <v>743</v>
      </c>
      <c r="G158" t="s">
        <v>18</v>
      </c>
    </row>
    <row r="159" spans="1:9" x14ac:dyDescent="0.2">
      <c r="A159">
        <f>_xlfn.XLOOKUP(D159, [1]Raphanus_specimens_all_2025!G:G, [1]Raphanus_specimens_all_2025!A:A, "")</f>
        <v>2767898</v>
      </c>
      <c r="B159">
        <v>2767898</v>
      </c>
      <c r="C159" t="s">
        <v>669</v>
      </c>
      <c r="D159" s="8">
        <v>539372</v>
      </c>
      <c r="E159">
        <v>1992</v>
      </c>
      <c r="F159" t="s">
        <v>760</v>
      </c>
      <c r="G159" t="s">
        <v>18</v>
      </c>
      <c r="H159" t="s">
        <v>684</v>
      </c>
    </row>
    <row r="160" spans="1:9" x14ac:dyDescent="0.2">
      <c r="A160">
        <f>_xlfn.XLOOKUP(D160, [1]Raphanus_specimens_all_2025!G:G, [1]Raphanus_specimens_all_2025!A:A, "")</f>
        <v>2342281</v>
      </c>
      <c r="B160">
        <v>2342281</v>
      </c>
      <c r="C160" t="s">
        <v>669</v>
      </c>
      <c r="D160" s="8">
        <v>74316</v>
      </c>
      <c r="E160">
        <v>1898</v>
      </c>
      <c r="F160" t="s">
        <v>738</v>
      </c>
      <c r="G160" t="s">
        <v>727</v>
      </c>
      <c r="H160" t="s">
        <v>25</v>
      </c>
    </row>
    <row r="161" spans="1:9" x14ac:dyDescent="0.2">
      <c r="A161">
        <f>_xlfn.XLOOKUP(D161, [1]Raphanus_specimens_all_2025!G:G, [1]Raphanus_specimens_all_2025!A:A, "")</f>
        <v>2395018</v>
      </c>
      <c r="B161">
        <v>2395018</v>
      </c>
      <c r="C161" t="s">
        <v>669</v>
      </c>
      <c r="D161" s="8">
        <v>74260</v>
      </c>
      <c r="E161">
        <v>1924</v>
      </c>
      <c r="F161" t="s">
        <v>779</v>
      </c>
      <c r="G161" t="s">
        <v>727</v>
      </c>
      <c r="H161" t="s">
        <v>25</v>
      </c>
    </row>
    <row r="162" spans="1:9" x14ac:dyDescent="0.2">
      <c r="A162">
        <f>_xlfn.XLOOKUP(D162, [1]Raphanus_specimens_all_2025!G:G, [1]Raphanus_specimens_all_2025!A:A, "")</f>
        <v>2449627</v>
      </c>
      <c r="B162">
        <v>2449627</v>
      </c>
      <c r="C162" t="s">
        <v>669</v>
      </c>
      <c r="D162" s="8">
        <v>74280</v>
      </c>
      <c r="E162">
        <v>1932</v>
      </c>
      <c r="F162" t="s">
        <v>807</v>
      </c>
      <c r="G162" t="s">
        <v>727</v>
      </c>
      <c r="H162" t="s">
        <v>306</v>
      </c>
      <c r="I162" t="s">
        <v>514</v>
      </c>
    </row>
    <row r="163" spans="1:9" x14ac:dyDescent="0.2">
      <c r="A163" t="s">
        <v>845</v>
      </c>
      <c r="B163" t="s">
        <v>845</v>
      </c>
      <c r="C163" t="s">
        <v>669</v>
      </c>
      <c r="D163" s="8">
        <v>911736</v>
      </c>
      <c r="E163">
        <v>1936</v>
      </c>
      <c r="F163" t="s">
        <v>728</v>
      </c>
      <c r="G163" t="s">
        <v>727</v>
      </c>
      <c r="H163" t="s">
        <v>725</v>
      </c>
      <c r="I163" t="s">
        <v>1209</v>
      </c>
    </row>
    <row r="164" spans="1:9" x14ac:dyDescent="0.2">
      <c r="A164">
        <f>_xlfn.XLOOKUP(D164, [1]Raphanus_specimens_all_2025!G:G, [1]Raphanus_specimens_all_2025!A:A, "")</f>
        <v>2442814</v>
      </c>
      <c r="B164">
        <v>2442814</v>
      </c>
      <c r="C164" t="s">
        <v>669</v>
      </c>
      <c r="D164" s="8">
        <v>74240</v>
      </c>
      <c r="E164">
        <v>1961</v>
      </c>
      <c r="F164" t="s">
        <v>737</v>
      </c>
      <c r="G164" t="s">
        <v>727</v>
      </c>
      <c r="H164" t="s">
        <v>736</v>
      </c>
    </row>
    <row r="165" spans="1:9" x14ac:dyDescent="0.2">
      <c r="A165">
        <f>_xlfn.XLOOKUP(D165, [1]Raphanus_specimens_all_2025!G:G, [1]Raphanus_specimens_all_2025!A:A, "")</f>
        <v>2333212</v>
      </c>
      <c r="B165">
        <v>2333212</v>
      </c>
      <c r="C165" t="s">
        <v>669</v>
      </c>
      <c r="D165" s="8">
        <v>74290</v>
      </c>
      <c r="E165">
        <v>1961</v>
      </c>
      <c r="F165" t="s">
        <v>254</v>
      </c>
      <c r="G165" t="s">
        <v>727</v>
      </c>
      <c r="H165" t="s">
        <v>25</v>
      </c>
    </row>
    <row r="166" spans="1:9" x14ac:dyDescent="0.2">
      <c r="A166">
        <f>_xlfn.XLOOKUP(D166, [1]Raphanus_specimens_all_2025!G:G, [1]Raphanus_specimens_all_2025!A:A, "")</f>
        <v>5504855</v>
      </c>
      <c r="B166">
        <v>5504855</v>
      </c>
      <c r="C166" t="s">
        <v>669</v>
      </c>
      <c r="D166" s="8">
        <v>684492</v>
      </c>
      <c r="E166">
        <v>1962</v>
      </c>
      <c r="F166" t="s">
        <v>455</v>
      </c>
      <c r="G166" t="s">
        <v>727</v>
      </c>
      <c r="H166" t="s">
        <v>25</v>
      </c>
      <c r="I166" t="s">
        <v>773</v>
      </c>
    </row>
    <row r="167" spans="1:9" x14ac:dyDescent="0.2">
      <c r="A167">
        <f>_xlfn.XLOOKUP(D167, [1]Raphanus_specimens_all_2025!G:G, [1]Raphanus_specimens_all_2025!A:A, "")</f>
        <v>5569675</v>
      </c>
      <c r="B167">
        <v>5569675</v>
      </c>
      <c r="C167" t="s">
        <v>669</v>
      </c>
      <c r="D167" s="8">
        <v>684518</v>
      </c>
      <c r="E167">
        <v>1962</v>
      </c>
      <c r="F167" t="s">
        <v>472</v>
      </c>
      <c r="G167" t="s">
        <v>727</v>
      </c>
      <c r="H167" t="s">
        <v>25</v>
      </c>
    </row>
    <row r="168" spans="1:9" x14ac:dyDescent="0.2">
      <c r="A168">
        <f>_xlfn.XLOOKUP(D168, [1]Raphanus_specimens_all_2025!G:G, [1]Raphanus_specimens_all_2025!A:A, "")</f>
        <v>5569850</v>
      </c>
      <c r="B168">
        <v>5569850</v>
      </c>
      <c r="C168" t="s">
        <v>669</v>
      </c>
      <c r="D168" s="8">
        <v>685177</v>
      </c>
      <c r="E168">
        <v>1962</v>
      </c>
      <c r="F168" t="s">
        <v>440</v>
      </c>
      <c r="G168" t="s">
        <v>727</v>
      </c>
      <c r="H168" t="s">
        <v>25</v>
      </c>
    </row>
    <row r="169" spans="1:9" x14ac:dyDescent="0.2">
      <c r="A169">
        <f>_xlfn.XLOOKUP(D169, [1]Raphanus_specimens_all_2025!G:G, [1]Raphanus_specimens_all_2025!A:A, "")</f>
        <v>5569676</v>
      </c>
      <c r="B169">
        <v>5569676</v>
      </c>
      <c r="C169" t="s">
        <v>669</v>
      </c>
      <c r="D169" s="8">
        <v>684519</v>
      </c>
      <c r="E169">
        <v>1963</v>
      </c>
      <c r="F169" t="s">
        <v>472</v>
      </c>
      <c r="G169" t="s">
        <v>727</v>
      </c>
      <c r="H169" t="s">
        <v>25</v>
      </c>
    </row>
    <row r="170" spans="1:9" x14ac:dyDescent="0.2">
      <c r="A170">
        <f>_xlfn.XLOOKUP(D170, [1]Raphanus_specimens_all_2025!G:G, [1]Raphanus_specimens_all_2025!A:A, "")</f>
        <v>2313500</v>
      </c>
      <c r="B170">
        <v>2313500</v>
      </c>
      <c r="C170" t="s">
        <v>669</v>
      </c>
      <c r="D170" s="8">
        <v>74288</v>
      </c>
      <c r="E170">
        <v>1967</v>
      </c>
      <c r="F170" t="s">
        <v>455</v>
      </c>
      <c r="G170" t="s">
        <v>727</v>
      </c>
      <c r="H170" t="s">
        <v>333</v>
      </c>
    </row>
    <row r="171" spans="1:9" x14ac:dyDescent="0.2">
      <c r="A171">
        <f>_xlfn.XLOOKUP(D171, [1]Raphanus_specimens_all_2025!G:G, [1]Raphanus_specimens_all_2025!A:A, "")</f>
        <v>5504852</v>
      </c>
      <c r="B171">
        <v>5504852</v>
      </c>
      <c r="C171" t="s">
        <v>669</v>
      </c>
      <c r="D171" s="8">
        <v>684489</v>
      </c>
      <c r="E171">
        <v>1970</v>
      </c>
      <c r="F171" t="s">
        <v>754</v>
      </c>
      <c r="G171" t="s">
        <v>727</v>
      </c>
      <c r="H171" t="s">
        <v>814</v>
      </c>
    </row>
    <row r="172" spans="1:9" x14ac:dyDescent="0.2">
      <c r="A172">
        <f>_xlfn.XLOOKUP(D172, [1]Raphanus_specimens_all_2025!G:G, [1]Raphanus_specimens_all_2025!A:A, "")</f>
        <v>2369553</v>
      </c>
      <c r="B172">
        <v>2369553</v>
      </c>
      <c r="C172" t="s">
        <v>669</v>
      </c>
      <c r="D172" s="8">
        <v>74236</v>
      </c>
      <c r="E172">
        <v>1985</v>
      </c>
      <c r="F172" t="s">
        <v>755</v>
      </c>
      <c r="G172" t="s">
        <v>727</v>
      </c>
      <c r="H172" t="s">
        <v>25</v>
      </c>
    </row>
    <row r="173" spans="1:9" x14ac:dyDescent="0.2">
      <c r="A173">
        <f>_xlfn.XLOOKUP(D173, [1]Raphanus_specimens_all_2025!G:G, [1]Raphanus_specimens_all_2025!A:A, "")</f>
        <v>2300919</v>
      </c>
      <c r="B173">
        <v>2300919</v>
      </c>
      <c r="C173" t="s">
        <v>669</v>
      </c>
      <c r="D173" s="8">
        <v>74309</v>
      </c>
      <c r="E173">
        <v>1907</v>
      </c>
      <c r="F173" t="s">
        <v>826</v>
      </c>
      <c r="G173" t="s">
        <v>785</v>
      </c>
      <c r="H173" t="s">
        <v>670</v>
      </c>
    </row>
    <row r="174" spans="1:9" x14ac:dyDescent="0.2">
      <c r="A174">
        <f>_xlfn.XLOOKUP(D174, [1]Raphanus_specimens_all_2025!G:G, [1]Raphanus_specimens_all_2025!A:A, "")</f>
        <v>2390205</v>
      </c>
      <c r="B174">
        <v>2390205</v>
      </c>
      <c r="C174" t="s">
        <v>669</v>
      </c>
      <c r="D174" s="8">
        <v>74346</v>
      </c>
      <c r="E174">
        <v>1907</v>
      </c>
      <c r="F174" t="s">
        <v>732</v>
      </c>
      <c r="G174" t="s">
        <v>785</v>
      </c>
      <c r="H174" t="s">
        <v>635</v>
      </c>
    </row>
    <row r="175" spans="1:9" x14ac:dyDescent="0.2">
      <c r="A175">
        <f>_xlfn.XLOOKUP(D175, [1]Raphanus_specimens_all_2025!G:G, [1]Raphanus_specimens_all_2025!A:A, "")</f>
        <v>2457381</v>
      </c>
      <c r="B175">
        <v>2457381</v>
      </c>
      <c r="C175" t="s">
        <v>669</v>
      </c>
      <c r="D175" s="8">
        <v>74311</v>
      </c>
      <c r="E175">
        <v>1914</v>
      </c>
      <c r="F175" t="s">
        <v>455</v>
      </c>
      <c r="G175" t="s">
        <v>785</v>
      </c>
      <c r="H175" t="s">
        <v>635</v>
      </c>
      <c r="I175" t="s">
        <v>514</v>
      </c>
    </row>
    <row r="176" spans="1:9" x14ac:dyDescent="0.2">
      <c r="A176">
        <f>_xlfn.XLOOKUP(D176, [1]Raphanus_specimens_all_2025!G:G, [1]Raphanus_specimens_all_2025!A:A, "")</f>
        <v>2331781</v>
      </c>
      <c r="B176">
        <v>2331781</v>
      </c>
      <c r="C176" t="s">
        <v>669</v>
      </c>
      <c r="D176">
        <v>74362</v>
      </c>
      <c r="E176">
        <v>1921</v>
      </c>
      <c r="F176" t="s">
        <v>764</v>
      </c>
      <c r="G176" t="s">
        <v>785</v>
      </c>
      <c r="H176" t="s">
        <v>635</v>
      </c>
      <c r="I176" t="s">
        <v>839</v>
      </c>
    </row>
    <row r="177" spans="1:10" x14ac:dyDescent="0.2">
      <c r="A177">
        <f>_xlfn.XLOOKUP(D177, [1]Raphanus_specimens_all_2025!G:G, [1]Raphanus_specimens_all_2025!A:A, "")</f>
        <v>2386302</v>
      </c>
      <c r="B177">
        <v>2386302</v>
      </c>
      <c r="C177" t="s">
        <v>669</v>
      </c>
      <c r="D177" s="8">
        <v>74329</v>
      </c>
      <c r="E177">
        <v>1927</v>
      </c>
      <c r="F177" t="s">
        <v>647</v>
      </c>
      <c r="G177" t="s">
        <v>785</v>
      </c>
      <c r="H177" t="s">
        <v>725</v>
      </c>
    </row>
    <row r="178" spans="1:10" x14ac:dyDescent="0.2">
      <c r="A178">
        <f>_xlfn.XLOOKUP(D178, [1]Raphanus_specimens_all_2025!G:G, [1]Raphanus_specimens_all_2025!A:A, "")</f>
        <v>2334980</v>
      </c>
      <c r="B178">
        <v>2334980</v>
      </c>
      <c r="C178" t="s">
        <v>669</v>
      </c>
      <c r="D178">
        <v>74356</v>
      </c>
      <c r="E178">
        <v>1950</v>
      </c>
      <c r="F178" t="s">
        <v>840</v>
      </c>
      <c r="G178" t="s">
        <v>785</v>
      </c>
      <c r="H178" t="s">
        <v>670</v>
      </c>
      <c r="I178" t="s">
        <v>841</v>
      </c>
    </row>
    <row r="179" spans="1:10" x14ac:dyDescent="0.2">
      <c r="A179">
        <f>_xlfn.XLOOKUP(D179, [1]Raphanus_specimens_all_2025!G:G, [1]Raphanus_specimens_all_2025!A:A, "")</f>
        <v>2414651</v>
      </c>
      <c r="B179">
        <v>2414651</v>
      </c>
      <c r="C179" t="s">
        <v>669</v>
      </c>
      <c r="D179">
        <v>74335</v>
      </c>
      <c r="E179">
        <v>1952</v>
      </c>
      <c r="F179" t="s">
        <v>794</v>
      </c>
      <c r="G179" t="s">
        <v>785</v>
      </c>
      <c r="H179" t="s">
        <v>845</v>
      </c>
    </row>
    <row r="180" spans="1:10" x14ac:dyDescent="0.2">
      <c r="A180">
        <f>_xlfn.XLOOKUP(D180, [1]Raphanus_specimens_all_2025!G:G, [1]Raphanus_specimens_all_2025!A:A, "")</f>
        <v>2423571</v>
      </c>
      <c r="B180">
        <v>2423571</v>
      </c>
      <c r="C180" t="s">
        <v>669</v>
      </c>
      <c r="D180">
        <v>74358</v>
      </c>
      <c r="E180">
        <v>1953</v>
      </c>
      <c r="F180" t="s">
        <v>713</v>
      </c>
      <c r="G180" t="s">
        <v>785</v>
      </c>
      <c r="H180" t="s">
        <v>25</v>
      </c>
      <c r="I180" t="s">
        <v>848</v>
      </c>
    </row>
    <row r="181" spans="1:10" x14ac:dyDescent="0.2">
      <c r="A181">
        <f>_xlfn.XLOOKUP(D181, [1]Raphanus_specimens_all_2025!G:G, [1]Raphanus_specimens_all_2025!A:A, "")</f>
        <v>2413016</v>
      </c>
      <c r="B181">
        <v>2413016</v>
      </c>
      <c r="C181" t="s">
        <v>669</v>
      </c>
      <c r="D181">
        <v>74336</v>
      </c>
      <c r="E181">
        <v>1954</v>
      </c>
      <c r="F181" t="s">
        <v>844</v>
      </c>
      <c r="G181" t="s">
        <v>785</v>
      </c>
      <c r="H181" t="s">
        <v>845</v>
      </c>
      <c r="I181" t="s">
        <v>567</v>
      </c>
    </row>
    <row r="182" spans="1:10" x14ac:dyDescent="0.2">
      <c r="A182">
        <f>_xlfn.XLOOKUP(D182, [1]Raphanus_specimens_all_2025!G:G, [1]Raphanus_specimens_all_2025!A:A, "")</f>
        <v>2369059</v>
      </c>
      <c r="B182">
        <v>2369059</v>
      </c>
      <c r="C182" t="s">
        <v>669</v>
      </c>
      <c r="D182" s="8">
        <v>74298</v>
      </c>
      <c r="E182">
        <v>1958</v>
      </c>
      <c r="F182" t="s">
        <v>743</v>
      </c>
      <c r="G182" t="s">
        <v>785</v>
      </c>
      <c r="H182" t="s">
        <v>635</v>
      </c>
    </row>
    <row r="183" spans="1:10" x14ac:dyDescent="0.2">
      <c r="A183">
        <f>_xlfn.XLOOKUP(D183, [1]Raphanus_specimens_all_2025!G:G, [1]Raphanus_specimens_all_2025!A:A, "")</f>
        <v>2289763</v>
      </c>
      <c r="B183">
        <v>2289763</v>
      </c>
      <c r="C183" t="s">
        <v>669</v>
      </c>
      <c r="D183" s="8">
        <v>74313</v>
      </c>
      <c r="E183">
        <v>1961</v>
      </c>
      <c r="F183" t="s">
        <v>647</v>
      </c>
      <c r="G183" t="s">
        <v>785</v>
      </c>
      <c r="H183" t="s">
        <v>25</v>
      </c>
    </row>
    <row r="184" spans="1:10" x14ac:dyDescent="0.2">
      <c r="A184">
        <f>_xlfn.XLOOKUP(D184, [1]Raphanus_specimens_all_2025!G:G, [1]Raphanus_specimens_all_2025!A:A, "")</f>
        <v>2371446</v>
      </c>
      <c r="B184">
        <v>2371446</v>
      </c>
      <c r="C184" t="s">
        <v>669</v>
      </c>
      <c r="D184">
        <v>74337</v>
      </c>
      <c r="E184">
        <v>1963</v>
      </c>
      <c r="F184" t="s">
        <v>768</v>
      </c>
      <c r="G184" t="s">
        <v>785</v>
      </c>
      <c r="H184" t="s">
        <v>670</v>
      </c>
    </row>
    <row r="185" spans="1:10" x14ac:dyDescent="0.2">
      <c r="A185">
        <f>_xlfn.XLOOKUP(D185, [1]Raphanus_specimens_all_2025!G:G, [1]Raphanus_specimens_all_2025!A:A, "")</f>
        <v>5504874</v>
      </c>
      <c r="B185">
        <v>5504874</v>
      </c>
      <c r="C185" t="s">
        <v>669</v>
      </c>
      <c r="D185" s="8">
        <v>684513</v>
      </c>
      <c r="E185">
        <v>1966</v>
      </c>
      <c r="F185" t="s">
        <v>647</v>
      </c>
      <c r="G185" t="s">
        <v>785</v>
      </c>
      <c r="H185" t="s">
        <v>25</v>
      </c>
      <c r="I185" t="s">
        <v>784</v>
      </c>
    </row>
    <row r="186" spans="1:10" x14ac:dyDescent="0.2">
      <c r="A186">
        <f>_xlfn.XLOOKUP(D186, [1]Raphanus_specimens_all_2025!G:G, [1]Raphanus_specimens_all_2025!A:A, "")</f>
        <v>2425563</v>
      </c>
      <c r="B186">
        <v>2425563</v>
      </c>
      <c r="C186" t="s">
        <v>669</v>
      </c>
      <c r="D186" s="8">
        <v>74285</v>
      </c>
      <c r="E186">
        <v>1966</v>
      </c>
      <c r="F186" t="s">
        <v>472</v>
      </c>
      <c r="G186" t="s">
        <v>785</v>
      </c>
      <c r="H186" t="s">
        <v>670</v>
      </c>
    </row>
    <row r="187" spans="1:10" x14ac:dyDescent="0.2">
      <c r="A187">
        <f>_xlfn.XLOOKUP(D187, [1]Raphanus_specimens_all_2025!G:G, [1]Raphanus_specimens_all_2025!A:A, "")</f>
        <v>2403101</v>
      </c>
      <c r="B187">
        <v>2403101</v>
      </c>
      <c r="C187" t="s">
        <v>669</v>
      </c>
      <c r="D187" s="8">
        <v>74287</v>
      </c>
      <c r="E187">
        <v>1970</v>
      </c>
      <c r="F187" t="s">
        <v>455</v>
      </c>
      <c r="G187" t="s">
        <v>785</v>
      </c>
      <c r="H187" t="s">
        <v>25</v>
      </c>
    </row>
    <row r="188" spans="1:10" x14ac:dyDescent="0.2">
      <c r="A188">
        <f>_xlfn.XLOOKUP(D188, [1]Raphanus_specimens_all_2025!G:G, [1]Raphanus_specimens_all_2025!A:A, "")</f>
        <v>2438182</v>
      </c>
      <c r="B188">
        <v>2438182</v>
      </c>
      <c r="C188" t="s">
        <v>669</v>
      </c>
      <c r="D188">
        <v>74338</v>
      </c>
      <c r="E188">
        <v>1974</v>
      </c>
      <c r="F188" t="s">
        <v>719</v>
      </c>
      <c r="G188" t="s">
        <v>785</v>
      </c>
      <c r="H188" t="s">
        <v>670</v>
      </c>
      <c r="I188" t="s">
        <v>753</v>
      </c>
    </row>
    <row r="189" spans="1:10" x14ac:dyDescent="0.2">
      <c r="A189">
        <f>_xlfn.XLOOKUP(D189, [1]Raphanus_specimens_all_2025!G:G, [1]Raphanus_specimens_all_2025!A:A, "")</f>
        <v>2453178</v>
      </c>
      <c r="B189">
        <v>2453178</v>
      </c>
      <c r="C189" t="s">
        <v>669</v>
      </c>
      <c r="D189" s="8">
        <v>74219</v>
      </c>
      <c r="E189">
        <v>1900</v>
      </c>
      <c r="F189" t="s">
        <v>770</v>
      </c>
      <c r="G189" t="s">
        <v>611</v>
      </c>
      <c r="H189" t="s">
        <v>25</v>
      </c>
      <c r="I189" t="s">
        <v>514</v>
      </c>
    </row>
    <row r="190" spans="1:10" x14ac:dyDescent="0.2">
      <c r="A190">
        <f>_xlfn.XLOOKUP(D190, [1]Raphanus_specimens_all_2025!G:G, [1]Raphanus_specimens_all_2025!A:A, "")</f>
        <v>2437901</v>
      </c>
      <c r="B190">
        <v>2437901</v>
      </c>
      <c r="C190" t="s">
        <v>669</v>
      </c>
      <c r="D190" s="8">
        <v>74235</v>
      </c>
      <c r="E190">
        <v>1907</v>
      </c>
      <c r="F190" t="s">
        <v>472</v>
      </c>
      <c r="G190" t="s">
        <v>611</v>
      </c>
      <c r="H190" t="s">
        <v>25</v>
      </c>
      <c r="J190" t="s">
        <v>756</v>
      </c>
    </row>
    <row r="191" spans="1:10" x14ac:dyDescent="0.2">
      <c r="A191">
        <f>_xlfn.XLOOKUP(D191, [1]Raphanus_specimens_all_2025!G:G, [1]Raphanus_specimens_all_2025!A:A, "")</f>
        <v>2465731</v>
      </c>
      <c r="B191">
        <v>2465731</v>
      </c>
      <c r="C191" t="s">
        <v>669</v>
      </c>
      <c r="D191" s="8">
        <v>74262</v>
      </c>
      <c r="E191">
        <v>1914</v>
      </c>
      <c r="F191" t="s">
        <v>605</v>
      </c>
      <c r="G191" t="s">
        <v>611</v>
      </c>
      <c r="H191" t="s">
        <v>25</v>
      </c>
    </row>
    <row r="192" spans="1:10" x14ac:dyDescent="0.2">
      <c r="A192">
        <f>_xlfn.XLOOKUP(D192, [1]Raphanus_specimens_all_2025!G:G, [1]Raphanus_specimens_all_2025!A:A, "")</f>
        <v>2366181</v>
      </c>
      <c r="B192">
        <v>2366181</v>
      </c>
      <c r="C192" t="s">
        <v>669</v>
      </c>
      <c r="D192" s="8">
        <v>74247</v>
      </c>
      <c r="E192">
        <v>1921</v>
      </c>
      <c r="F192" t="s">
        <v>491</v>
      </c>
      <c r="G192" t="s">
        <v>611</v>
      </c>
      <c r="H192" t="s">
        <v>635</v>
      </c>
    </row>
    <row r="193" spans="1:10" x14ac:dyDescent="0.2">
      <c r="A193">
        <f>_xlfn.XLOOKUP(D193, [1]Raphanus_specimens_all_2025!G:G, [1]Raphanus_specimens_all_2025!A:A, "")</f>
        <v>2322547</v>
      </c>
      <c r="B193">
        <v>2322547</v>
      </c>
      <c r="C193" t="s">
        <v>669</v>
      </c>
      <c r="D193" s="8">
        <v>74245</v>
      </c>
      <c r="E193">
        <v>1921</v>
      </c>
      <c r="F193" t="s">
        <v>455</v>
      </c>
      <c r="G193" t="s">
        <v>611</v>
      </c>
      <c r="H193" t="s">
        <v>25</v>
      </c>
      <c r="I193" t="s">
        <v>781</v>
      </c>
    </row>
    <row r="194" spans="1:10" x14ac:dyDescent="0.2">
      <c r="A194">
        <f>_xlfn.XLOOKUP(D194, [1]Raphanus_specimens_all_2025!G:G, [1]Raphanus_specimens_all_2025!A:A, "")</f>
        <v>2317066</v>
      </c>
      <c r="B194">
        <v>2317066</v>
      </c>
      <c r="C194" t="s">
        <v>669</v>
      </c>
      <c r="D194" s="8">
        <v>74244</v>
      </c>
      <c r="E194">
        <v>1921</v>
      </c>
      <c r="F194" t="s">
        <v>455</v>
      </c>
      <c r="G194" t="s">
        <v>611</v>
      </c>
      <c r="H194" t="s">
        <v>25</v>
      </c>
      <c r="I194" t="s">
        <v>781</v>
      </c>
    </row>
    <row r="195" spans="1:10" x14ac:dyDescent="0.2">
      <c r="A195">
        <f>_xlfn.XLOOKUP(D195, [1]Raphanus_specimens_all_2025!G:G, [1]Raphanus_specimens_all_2025!A:A, "")</f>
        <v>2431017</v>
      </c>
      <c r="B195">
        <v>2431017</v>
      </c>
      <c r="C195" t="s">
        <v>669</v>
      </c>
      <c r="D195" s="8">
        <v>74222</v>
      </c>
      <c r="E195">
        <v>1927</v>
      </c>
      <c r="F195" t="s">
        <v>766</v>
      </c>
      <c r="G195" t="s">
        <v>611</v>
      </c>
      <c r="H195" t="s">
        <v>25</v>
      </c>
      <c r="J195" t="s">
        <v>769</v>
      </c>
    </row>
    <row r="196" spans="1:10" x14ac:dyDescent="0.2">
      <c r="A196">
        <f>_xlfn.XLOOKUP(D196, [1]Raphanus_specimens_all_2025!G:G, [1]Raphanus_specimens_all_2025!A:A, "")</f>
        <v>2440492</v>
      </c>
      <c r="B196">
        <v>2440492</v>
      </c>
      <c r="C196" t="s">
        <v>669</v>
      </c>
      <c r="D196" s="8">
        <v>74279</v>
      </c>
      <c r="E196">
        <v>1932</v>
      </c>
      <c r="F196" t="s">
        <v>732</v>
      </c>
      <c r="G196" t="s">
        <v>611</v>
      </c>
      <c r="H196" t="s">
        <v>306</v>
      </c>
    </row>
    <row r="197" spans="1:10" x14ac:dyDescent="0.2">
      <c r="A197">
        <f>_xlfn.XLOOKUP(D197, [1]Raphanus_specimens_all_2025!G:G, [1]Raphanus_specimens_all_2025!A:A, "")</f>
        <v>2771952</v>
      </c>
      <c r="B197">
        <v>2771952</v>
      </c>
      <c r="C197" t="s">
        <v>669</v>
      </c>
      <c r="D197" s="8">
        <v>550561</v>
      </c>
      <c r="E197">
        <v>1937</v>
      </c>
      <c r="F197" t="s">
        <v>647</v>
      </c>
      <c r="G197" t="s">
        <v>611</v>
      </c>
      <c r="H197" t="s">
        <v>670</v>
      </c>
      <c r="I197" t="s">
        <v>811</v>
      </c>
    </row>
    <row r="198" spans="1:10" x14ac:dyDescent="0.2">
      <c r="A198">
        <f>_xlfn.XLOOKUP(D198, [1]Raphanus_specimens_all_2025!G:G, [1]Raphanus_specimens_all_2025!A:A, "")</f>
        <v>2367740</v>
      </c>
      <c r="B198">
        <v>2367740</v>
      </c>
      <c r="C198" t="s">
        <v>669</v>
      </c>
      <c r="D198" s="8">
        <v>74231</v>
      </c>
      <c r="E198">
        <v>1938</v>
      </c>
      <c r="F198" t="s">
        <v>472</v>
      </c>
      <c r="G198" t="s">
        <v>611</v>
      </c>
      <c r="H198" t="s">
        <v>676</v>
      </c>
    </row>
    <row r="199" spans="1:10" x14ac:dyDescent="0.2">
      <c r="A199">
        <f>_xlfn.XLOOKUP(D199, [1]Raphanus_specimens_all_2025!G:G, [1]Raphanus_specimens_all_2025!A:A, "")</f>
        <v>2395595</v>
      </c>
      <c r="B199">
        <v>2395595</v>
      </c>
      <c r="C199" t="s">
        <v>669</v>
      </c>
      <c r="D199" s="8">
        <v>74242</v>
      </c>
      <c r="E199">
        <v>1944</v>
      </c>
      <c r="F199" t="s">
        <v>734</v>
      </c>
      <c r="G199" t="s">
        <v>611</v>
      </c>
      <c r="H199" t="s">
        <v>25</v>
      </c>
    </row>
    <row r="200" spans="1:10" x14ac:dyDescent="0.2">
      <c r="A200">
        <f>_xlfn.XLOOKUP(D200, [1]Raphanus_specimens_all_2025!G:G, [1]Raphanus_specimens_all_2025!A:A, "")</f>
        <v>2321963</v>
      </c>
      <c r="B200">
        <v>2321963</v>
      </c>
      <c r="C200" t="s">
        <v>669</v>
      </c>
      <c r="D200" s="8">
        <v>74308</v>
      </c>
      <c r="E200">
        <v>1955</v>
      </c>
      <c r="F200" t="s">
        <v>455</v>
      </c>
      <c r="G200" t="s">
        <v>611</v>
      </c>
      <c r="H200" t="s">
        <v>670</v>
      </c>
    </row>
    <row r="201" spans="1:10" x14ac:dyDescent="0.2">
      <c r="A201">
        <f>_xlfn.XLOOKUP(D201, [1]Raphanus_specimens_all_2025!G:G, [1]Raphanus_specimens_all_2025!A:A, "")</f>
        <v>2285742</v>
      </c>
      <c r="B201">
        <v>2285742</v>
      </c>
      <c r="C201" t="s">
        <v>669</v>
      </c>
      <c r="D201" s="8">
        <v>74327</v>
      </c>
      <c r="E201">
        <v>1955</v>
      </c>
      <c r="F201" t="s">
        <v>828</v>
      </c>
      <c r="G201" t="s">
        <v>611</v>
      </c>
      <c r="H201" t="s">
        <v>797</v>
      </c>
      <c r="I201" t="s">
        <v>817</v>
      </c>
    </row>
    <row r="202" spans="1:10" x14ac:dyDescent="0.2">
      <c r="A202">
        <f>_xlfn.XLOOKUP(D202, [1]Raphanus_specimens_all_2025!G:G, [1]Raphanus_specimens_all_2025!A:A, "")</f>
        <v>2422780</v>
      </c>
      <c r="B202">
        <v>2422780</v>
      </c>
      <c r="C202" t="s">
        <v>669</v>
      </c>
      <c r="D202" s="8">
        <v>74272</v>
      </c>
      <c r="E202">
        <v>1958</v>
      </c>
      <c r="F202" t="s">
        <v>491</v>
      </c>
      <c r="G202" t="s">
        <v>611</v>
      </c>
      <c r="H202" t="s">
        <v>777</v>
      </c>
    </row>
    <row r="203" spans="1:10" x14ac:dyDescent="0.2">
      <c r="A203">
        <f>_xlfn.XLOOKUP(D203, [1]Raphanus_specimens_all_2025!G:G, [1]Raphanus_specimens_all_2025!A:A, "")</f>
        <v>2377415</v>
      </c>
      <c r="B203">
        <v>2377415</v>
      </c>
      <c r="C203" t="s">
        <v>669</v>
      </c>
      <c r="D203" s="8">
        <v>74330</v>
      </c>
      <c r="E203">
        <v>1958</v>
      </c>
      <c r="F203" t="s">
        <v>647</v>
      </c>
      <c r="G203" t="s">
        <v>611</v>
      </c>
      <c r="H203" t="s">
        <v>777</v>
      </c>
    </row>
    <row r="204" spans="1:10" x14ac:dyDescent="0.2">
      <c r="A204">
        <f>_xlfn.XLOOKUP(D204, [1]Raphanus_specimens_all_2025!G:G, [1]Raphanus_specimens_all_2025!A:A, "")</f>
        <v>5504857</v>
      </c>
      <c r="B204">
        <v>5504857</v>
      </c>
      <c r="C204" t="s">
        <v>669</v>
      </c>
      <c r="D204" s="8">
        <v>684494</v>
      </c>
      <c r="E204">
        <v>1962</v>
      </c>
      <c r="F204" t="s">
        <v>455</v>
      </c>
      <c r="G204" t="s">
        <v>611</v>
      </c>
      <c r="H204" t="s">
        <v>25</v>
      </c>
    </row>
    <row r="205" spans="1:10" x14ac:dyDescent="0.2">
      <c r="A205">
        <f>_xlfn.XLOOKUP(D205, [1]Raphanus_specimens_all_2025!G:G, [1]Raphanus_specimens_all_2025!A:A, "")</f>
        <v>5504861</v>
      </c>
      <c r="B205">
        <v>5504861</v>
      </c>
      <c r="C205" t="s">
        <v>669</v>
      </c>
      <c r="D205" s="8">
        <v>684499</v>
      </c>
      <c r="E205">
        <v>1963</v>
      </c>
      <c r="F205" t="s">
        <v>377</v>
      </c>
      <c r="G205" t="s">
        <v>611</v>
      </c>
      <c r="H205" t="s">
        <v>25</v>
      </c>
    </row>
    <row r="206" spans="1:10" x14ac:dyDescent="0.2">
      <c r="A206">
        <f>_xlfn.XLOOKUP(D206, [1]Raphanus_specimens_all_2025!G:G, [1]Raphanus_specimens_all_2025!A:A, "")</f>
        <v>2424544</v>
      </c>
      <c r="B206">
        <v>2424544</v>
      </c>
      <c r="C206" t="s">
        <v>669</v>
      </c>
      <c r="D206" s="8">
        <v>74190</v>
      </c>
      <c r="E206">
        <v>1964</v>
      </c>
      <c r="F206" t="s">
        <v>738</v>
      </c>
      <c r="G206" t="s">
        <v>611</v>
      </c>
      <c r="H206" t="s">
        <v>670</v>
      </c>
    </row>
    <row r="207" spans="1:10" x14ac:dyDescent="0.2">
      <c r="A207">
        <f>_xlfn.XLOOKUP(D207, [1]Raphanus_specimens_all_2025!G:G, [1]Raphanus_specimens_all_2025!A:A, "")</f>
        <v>5504867</v>
      </c>
      <c r="B207">
        <v>5504867</v>
      </c>
      <c r="C207" t="s">
        <v>669</v>
      </c>
      <c r="D207" s="8">
        <v>684506</v>
      </c>
      <c r="E207">
        <v>1964</v>
      </c>
      <c r="F207" t="s">
        <v>695</v>
      </c>
      <c r="G207" t="s">
        <v>611</v>
      </c>
      <c r="H207" t="s">
        <v>670</v>
      </c>
    </row>
    <row r="208" spans="1:10" x14ac:dyDescent="0.2">
      <c r="A208">
        <f>_xlfn.XLOOKUP(D208, [1]Raphanus_specimens_all_2025!G:G, [1]Raphanus_specimens_all_2025!A:A, "")</f>
        <v>2415893</v>
      </c>
      <c r="B208">
        <v>2415893</v>
      </c>
      <c r="C208" t="s">
        <v>669</v>
      </c>
      <c r="D208" s="8">
        <v>74269</v>
      </c>
      <c r="E208">
        <v>1965</v>
      </c>
      <c r="F208" t="s">
        <v>799</v>
      </c>
      <c r="G208" t="s">
        <v>611</v>
      </c>
    </row>
    <row r="209" spans="1:10" x14ac:dyDescent="0.2">
      <c r="A209">
        <f>_xlfn.XLOOKUP(D209, [1]Raphanus_specimens_all_2025!G:G, [1]Raphanus_specimens_all_2025!A:A, "")</f>
        <v>5569849</v>
      </c>
      <c r="B209">
        <v>5569849</v>
      </c>
      <c r="C209" t="s">
        <v>669</v>
      </c>
      <c r="D209" s="8">
        <v>685176</v>
      </c>
      <c r="E209">
        <v>1966</v>
      </c>
      <c r="F209" t="s">
        <v>440</v>
      </c>
      <c r="G209" t="s">
        <v>611</v>
      </c>
      <c r="H209" t="s">
        <v>635</v>
      </c>
    </row>
    <row r="210" spans="1:10" x14ac:dyDescent="0.2">
      <c r="A210">
        <f>_xlfn.XLOOKUP(D210, [1]Raphanus_specimens_all_2025!G:G, [1]Raphanus_specimens_all_2025!A:A, "")</f>
        <v>2414047</v>
      </c>
      <c r="B210">
        <v>2414047</v>
      </c>
      <c r="C210" t="s">
        <v>669</v>
      </c>
      <c r="D210" s="8">
        <v>74255</v>
      </c>
      <c r="E210">
        <v>1967</v>
      </c>
      <c r="F210" t="s">
        <v>732</v>
      </c>
      <c r="G210" t="s">
        <v>611</v>
      </c>
      <c r="H210" t="s">
        <v>777</v>
      </c>
      <c r="I210" t="s">
        <v>753</v>
      </c>
    </row>
    <row r="211" spans="1:10" x14ac:dyDescent="0.2">
      <c r="A211">
        <f>_xlfn.XLOOKUP(D211, [1]Raphanus_specimens_all_2025!G:G, [1]Raphanus_specimens_all_2025!A:A, "")</f>
        <v>5504860</v>
      </c>
      <c r="B211">
        <v>5504860</v>
      </c>
      <c r="C211" t="s">
        <v>669</v>
      </c>
      <c r="D211" s="8">
        <v>684498</v>
      </c>
      <c r="E211">
        <v>1970</v>
      </c>
      <c r="F211" t="s">
        <v>455</v>
      </c>
      <c r="G211" t="s">
        <v>611</v>
      </c>
      <c r="H211" t="s">
        <v>791</v>
      </c>
      <c r="I211" t="s">
        <v>792</v>
      </c>
    </row>
    <row r="212" spans="1:10" x14ac:dyDescent="0.2">
      <c r="A212">
        <f>_xlfn.XLOOKUP(D212, [1]Raphanus_specimens_all_2025!G:G, [1]Raphanus_specimens_all_2025!A:A, "")</f>
        <v>2342720</v>
      </c>
      <c r="B212">
        <v>2342720</v>
      </c>
      <c r="C212" t="s">
        <v>669</v>
      </c>
      <c r="D212" s="8">
        <v>74214</v>
      </c>
      <c r="E212">
        <v>1972</v>
      </c>
      <c r="F212" t="s">
        <v>747</v>
      </c>
      <c r="G212" t="s">
        <v>611</v>
      </c>
      <c r="H212" t="s">
        <v>670</v>
      </c>
    </row>
    <row r="213" spans="1:10" x14ac:dyDescent="0.2">
      <c r="A213">
        <f>_xlfn.XLOOKUP(D213, [1]Raphanus_specimens_all_2025!G:G, [1]Raphanus_specimens_all_2025!A:A, "")</f>
        <v>5504868</v>
      </c>
      <c r="B213">
        <v>5504868</v>
      </c>
      <c r="C213" t="s">
        <v>669</v>
      </c>
      <c r="D213" s="8">
        <v>684507</v>
      </c>
      <c r="E213">
        <v>1973</v>
      </c>
      <c r="F213" t="s">
        <v>671</v>
      </c>
      <c r="G213" t="s">
        <v>611</v>
      </c>
      <c r="H213" t="s">
        <v>635</v>
      </c>
    </row>
    <row r="214" spans="1:10" x14ac:dyDescent="0.2">
      <c r="A214">
        <f>_xlfn.XLOOKUP(D214, [1]Raphanus_specimens_all_2025!G:G, [1]Raphanus_specimens_all_2025!A:A, "")</f>
        <v>2767670</v>
      </c>
      <c r="B214">
        <v>2767670</v>
      </c>
      <c r="C214" t="s">
        <v>669</v>
      </c>
      <c r="D214" s="8">
        <v>539311</v>
      </c>
      <c r="E214">
        <v>1977</v>
      </c>
      <c r="F214" t="s">
        <v>697</v>
      </c>
      <c r="G214" t="s">
        <v>611</v>
      </c>
      <c r="H214" t="s">
        <v>670</v>
      </c>
    </row>
    <row r="215" spans="1:10" x14ac:dyDescent="0.2">
      <c r="A215">
        <f>_xlfn.XLOOKUP(D215, [1]Raphanus_specimens_all_2025!G:G, [1]Raphanus_specimens_all_2025!A:A, "")</f>
        <v>2312543</v>
      </c>
      <c r="B215">
        <v>2312543</v>
      </c>
      <c r="C215" t="s">
        <v>669</v>
      </c>
      <c r="D215" s="8">
        <v>74293</v>
      </c>
      <c r="E215">
        <v>1978</v>
      </c>
      <c r="F215" t="s">
        <v>455</v>
      </c>
      <c r="G215" t="s">
        <v>611</v>
      </c>
      <c r="H215" t="s">
        <v>520</v>
      </c>
      <c r="I215" t="s">
        <v>514</v>
      </c>
    </row>
    <row r="216" spans="1:10" x14ac:dyDescent="0.2">
      <c r="A216">
        <f>_xlfn.XLOOKUP(D216, [1]Raphanus_specimens_all_2025!G:G, [1]Raphanus_specimens_all_2025!A:A, "")</f>
        <v>2286151</v>
      </c>
      <c r="B216">
        <v>2286151</v>
      </c>
      <c r="C216" t="s">
        <v>669</v>
      </c>
      <c r="D216" s="8">
        <v>74314</v>
      </c>
      <c r="E216">
        <v>1980</v>
      </c>
      <c r="F216" t="s">
        <v>455</v>
      </c>
      <c r="G216" t="s">
        <v>611</v>
      </c>
      <c r="H216" t="s">
        <v>25</v>
      </c>
      <c r="I216" t="s">
        <v>825</v>
      </c>
    </row>
    <row r="217" spans="1:10" x14ac:dyDescent="0.2">
      <c r="A217">
        <f>_xlfn.XLOOKUP(D217, [1]Raphanus_specimens_all_2025!G:G, [1]Raphanus_specimens_all_2025!A:A, "")</f>
        <v>5504869</v>
      </c>
      <c r="B217">
        <v>5504869</v>
      </c>
      <c r="C217" t="s">
        <v>669</v>
      </c>
      <c r="D217" s="8">
        <v>684508</v>
      </c>
      <c r="E217">
        <v>1982</v>
      </c>
      <c r="F217" t="s">
        <v>794</v>
      </c>
      <c r="G217" t="s">
        <v>611</v>
      </c>
      <c r="H217" t="s">
        <v>670</v>
      </c>
    </row>
    <row r="218" spans="1:10" x14ac:dyDescent="0.2">
      <c r="A218">
        <f>_xlfn.XLOOKUP(D218, [1]Raphanus_specimens_all_2025!G:G, [1]Raphanus_specimens_all_2025!A:A, "")</f>
        <v>5043016</v>
      </c>
      <c r="B218">
        <v>5043016</v>
      </c>
      <c r="C218" t="s">
        <v>669</v>
      </c>
      <c r="D218" s="8">
        <v>656433</v>
      </c>
      <c r="E218">
        <v>1984</v>
      </c>
      <c r="F218" t="s">
        <v>455</v>
      </c>
      <c r="G218" t="s">
        <v>611</v>
      </c>
      <c r="H218" t="s">
        <v>635</v>
      </c>
    </row>
    <row r="219" spans="1:10" x14ac:dyDescent="0.2">
      <c r="A219">
        <f>_xlfn.XLOOKUP(D219, [1]Raphanus_specimens_all_2025!G:G, [1]Raphanus_specimens_all_2025!A:A, "")</f>
        <v>2305663</v>
      </c>
      <c r="B219">
        <v>2305663</v>
      </c>
      <c r="C219" t="s">
        <v>669</v>
      </c>
      <c r="D219" s="8">
        <v>74324</v>
      </c>
      <c r="E219">
        <v>1993</v>
      </c>
      <c r="F219" t="s">
        <v>503</v>
      </c>
      <c r="G219" t="s">
        <v>611</v>
      </c>
      <c r="H219" t="s">
        <v>635</v>
      </c>
    </row>
    <row r="220" spans="1:10" x14ac:dyDescent="0.2">
      <c r="A220" t="s">
        <v>845</v>
      </c>
      <c r="B220" t="s">
        <v>845</v>
      </c>
      <c r="C220" t="s">
        <v>669</v>
      </c>
      <c r="D220" s="8">
        <v>684512</v>
      </c>
      <c r="E220" t="s">
        <v>782</v>
      </c>
      <c r="F220" t="s">
        <v>472</v>
      </c>
      <c r="G220" t="s">
        <v>611</v>
      </c>
      <c r="H220" t="s">
        <v>783</v>
      </c>
    </row>
    <row r="221" spans="1:10" x14ac:dyDescent="0.2">
      <c r="A221">
        <f>_xlfn.XLOOKUP(D221, [1]Raphanus_specimens_all_2025!G:G, [1]Raphanus_specimens_all_2025!A:A, "")</f>
        <v>5504847</v>
      </c>
      <c r="B221">
        <v>5504847</v>
      </c>
      <c r="C221" t="s">
        <v>669</v>
      </c>
      <c r="D221" s="8">
        <v>684484</v>
      </c>
      <c r="E221">
        <v>1963</v>
      </c>
      <c r="F221" t="s">
        <v>719</v>
      </c>
      <c r="G221" t="s">
        <v>709</v>
      </c>
      <c r="H221" t="s">
        <v>670</v>
      </c>
    </row>
    <row r="222" spans="1:10" x14ac:dyDescent="0.2">
      <c r="A222">
        <f>_xlfn.XLOOKUP(D222, [1]Raphanus_specimens_all_2025!G:G, [1]Raphanus_specimens_all_2025!A:A, "")</f>
        <v>2334928</v>
      </c>
      <c r="B222">
        <v>2334928</v>
      </c>
      <c r="C222" t="s">
        <v>669</v>
      </c>
      <c r="D222" s="8">
        <v>74198</v>
      </c>
      <c r="E222">
        <v>1913</v>
      </c>
      <c r="F222" t="s">
        <v>680</v>
      </c>
      <c r="G222" t="s">
        <v>672</v>
      </c>
      <c r="H222" t="s">
        <v>78</v>
      </c>
    </row>
    <row r="223" spans="1:10" x14ac:dyDescent="0.2">
      <c r="A223">
        <f>_xlfn.XLOOKUP(D223, [1]Raphanus_specimens_all_2025!G:G, [1]Raphanus_specimens_all_2025!A:A, "")</f>
        <v>2293307</v>
      </c>
      <c r="B223">
        <v>2293307</v>
      </c>
      <c r="C223" t="s">
        <v>669</v>
      </c>
      <c r="D223" s="8">
        <v>74183</v>
      </c>
      <c r="E223">
        <v>1936</v>
      </c>
      <c r="F223" t="s">
        <v>705</v>
      </c>
      <c r="G223" t="s">
        <v>672</v>
      </c>
      <c r="H223" t="s">
        <v>97</v>
      </c>
      <c r="I223" t="s">
        <v>673</v>
      </c>
    </row>
    <row r="224" spans="1:10" x14ac:dyDescent="0.2">
      <c r="A224">
        <f>_xlfn.XLOOKUP(D224, [1]Raphanus_specimens_all_2025!G:G, [1]Raphanus_specimens_all_2025!A:A, "")</f>
        <v>2450089</v>
      </c>
      <c r="B224">
        <v>2450089</v>
      </c>
      <c r="C224" t="s">
        <v>669</v>
      </c>
      <c r="D224" s="8">
        <v>74197</v>
      </c>
      <c r="E224">
        <v>1950</v>
      </c>
      <c r="F224" t="s">
        <v>836</v>
      </c>
      <c r="G224" t="s">
        <v>672</v>
      </c>
      <c r="H224" t="s">
        <v>674</v>
      </c>
      <c r="I224" t="s">
        <v>514</v>
      </c>
      <c r="J224" t="s">
        <v>551</v>
      </c>
    </row>
    <row r="225" spans="1:12" x14ac:dyDescent="0.2">
      <c r="A225">
        <f>_xlfn.XLOOKUP(D225, [1]Raphanus_specimens_all_2025!G:G, [1]Raphanus_specimens_all_2025!A:A, "")</f>
        <v>2358602</v>
      </c>
      <c r="B225">
        <v>2358602</v>
      </c>
      <c r="C225" t="s">
        <v>669</v>
      </c>
      <c r="D225" s="8">
        <v>74223</v>
      </c>
      <c r="E225">
        <v>1951</v>
      </c>
      <c r="F225" t="s">
        <v>764</v>
      </c>
      <c r="G225" t="s">
        <v>672</v>
      </c>
      <c r="H225" t="s">
        <v>670</v>
      </c>
    </row>
    <row r="226" spans="1:12" x14ac:dyDescent="0.2">
      <c r="A226">
        <f>_xlfn.XLOOKUP(D226, [1]Raphanus_specimens_all_2025!G:G, [1]Raphanus_specimens_all_2025!A:A, "")</f>
        <v>5504845</v>
      </c>
      <c r="B226">
        <v>5504845</v>
      </c>
      <c r="C226" t="s">
        <v>669</v>
      </c>
      <c r="D226" s="8">
        <v>684482</v>
      </c>
      <c r="E226">
        <v>1952</v>
      </c>
      <c r="F226" t="s">
        <v>754</v>
      </c>
      <c r="G226" t="s">
        <v>672</v>
      </c>
      <c r="H226" t="s">
        <v>676</v>
      </c>
    </row>
    <row r="227" spans="1:12" x14ac:dyDescent="0.2">
      <c r="A227">
        <f>_xlfn.XLOOKUP(D227, [1]Raphanus_specimens_all_2025!G:G, [1]Raphanus_specimens_all_2025!A:A, "")</f>
        <v>2462190</v>
      </c>
      <c r="B227">
        <v>2462190</v>
      </c>
      <c r="C227" t="s">
        <v>669</v>
      </c>
      <c r="D227" s="8">
        <v>74213</v>
      </c>
      <c r="E227">
        <v>1964</v>
      </c>
      <c r="F227" t="s">
        <v>748</v>
      </c>
      <c r="G227" t="s">
        <v>672</v>
      </c>
      <c r="H227" t="s">
        <v>670</v>
      </c>
      <c r="J227" t="s">
        <v>724</v>
      </c>
    </row>
    <row r="228" spans="1:12" x14ac:dyDescent="0.2">
      <c r="A228">
        <f>_xlfn.XLOOKUP(D228, [1]Raphanus_specimens_all_2025!G:G, [1]Raphanus_specimens_all_2025!A:A, "")</f>
        <v>2291266</v>
      </c>
      <c r="B228">
        <v>2291266</v>
      </c>
      <c r="C228" t="s">
        <v>669</v>
      </c>
      <c r="D228" s="8">
        <v>74199</v>
      </c>
      <c r="E228">
        <v>1976</v>
      </c>
      <c r="F228" t="s">
        <v>675</v>
      </c>
      <c r="G228" t="s">
        <v>672</v>
      </c>
      <c r="H228" t="s">
        <v>97</v>
      </c>
    </row>
    <row r="229" spans="1:12" x14ac:dyDescent="0.2">
      <c r="A229">
        <f>_xlfn.XLOOKUP(D229, [1]Raphanus_specimens_all_2025!G:G, [1]Raphanus_specimens_all_2025!A:A, "")</f>
        <v>2500762</v>
      </c>
      <c r="B229">
        <v>2500762</v>
      </c>
      <c r="C229" t="s">
        <v>669</v>
      </c>
      <c r="D229" s="8">
        <v>154056</v>
      </c>
      <c r="E229">
        <v>2005</v>
      </c>
      <c r="F229" t="s">
        <v>732</v>
      </c>
      <c r="G229" t="s">
        <v>672</v>
      </c>
      <c r="H229" t="s">
        <v>25</v>
      </c>
    </row>
    <row r="230" spans="1:12" x14ac:dyDescent="0.2">
      <c r="A230">
        <f>_xlfn.XLOOKUP(D230, [1]Raphanus_specimens_all_2025!G:G, [1]Raphanus_specimens_all_2025!A:A, "")</f>
        <v>2521638</v>
      </c>
      <c r="B230">
        <v>2521638</v>
      </c>
      <c r="C230" t="s">
        <v>669</v>
      </c>
      <c r="D230" s="8">
        <v>174778</v>
      </c>
      <c r="E230">
        <v>2008</v>
      </c>
      <c r="F230" t="s">
        <v>731</v>
      </c>
      <c r="H230" t="s">
        <v>730</v>
      </c>
      <c r="I230" t="s">
        <v>729</v>
      </c>
    </row>
    <row r="231" spans="1:12" x14ac:dyDescent="0.2">
      <c r="C231" t="s">
        <v>1350</v>
      </c>
      <c r="D231" t="s">
        <v>1351</v>
      </c>
      <c r="E231">
        <v>1932</v>
      </c>
      <c r="F231" t="s">
        <v>455</v>
      </c>
      <c r="G231" t="s">
        <v>1331</v>
      </c>
      <c r="H231" t="s">
        <v>25</v>
      </c>
      <c r="I231" t="s">
        <v>1346</v>
      </c>
      <c r="K231" t="s">
        <v>1282</v>
      </c>
      <c r="L231" s="11">
        <v>46091</v>
      </c>
    </row>
    <row r="232" spans="1:12" x14ac:dyDescent="0.2">
      <c r="C232" t="s">
        <v>1350</v>
      </c>
      <c r="D232" t="s">
        <v>1352</v>
      </c>
      <c r="E232">
        <v>1959</v>
      </c>
      <c r="F232" t="s">
        <v>455</v>
      </c>
      <c r="G232" t="s">
        <v>11</v>
      </c>
      <c r="H232" t="s">
        <v>500</v>
      </c>
      <c r="K232" t="s">
        <v>1282</v>
      </c>
      <c r="L232" s="11">
        <v>46091</v>
      </c>
    </row>
    <row r="233" spans="1:12" x14ac:dyDescent="0.2">
      <c r="C233" t="s">
        <v>1350</v>
      </c>
      <c r="D233" t="s">
        <v>1353</v>
      </c>
      <c r="E233">
        <v>1958</v>
      </c>
      <c r="F233" t="s">
        <v>455</v>
      </c>
      <c r="G233" t="s">
        <v>611</v>
      </c>
      <c r="H233" t="s">
        <v>725</v>
      </c>
      <c r="K233" t="s">
        <v>1084</v>
      </c>
      <c r="L233" s="11">
        <v>46091</v>
      </c>
    </row>
    <row r="234" spans="1:12" x14ac:dyDescent="0.2">
      <c r="C234" t="s">
        <v>1350</v>
      </c>
      <c r="D234" t="s">
        <v>1354</v>
      </c>
      <c r="E234">
        <v>1959</v>
      </c>
      <c r="F234" t="s">
        <v>1356</v>
      </c>
      <c r="G234" t="s">
        <v>11</v>
      </c>
      <c r="H234" t="s">
        <v>725</v>
      </c>
      <c r="K234" t="s">
        <v>1282</v>
      </c>
      <c r="L234" s="11">
        <v>46091</v>
      </c>
    </row>
    <row r="235" spans="1:12" x14ac:dyDescent="0.2">
      <c r="C235" t="s">
        <v>1350</v>
      </c>
      <c r="D235" t="s">
        <v>1355</v>
      </c>
      <c r="E235">
        <v>1908</v>
      </c>
      <c r="F235" t="s">
        <v>1358</v>
      </c>
      <c r="G235" t="s">
        <v>11</v>
      </c>
      <c r="H235" t="s">
        <v>25</v>
      </c>
      <c r="I235" t="s">
        <v>1357</v>
      </c>
      <c r="K235" t="s">
        <v>1282</v>
      </c>
      <c r="L235" s="11">
        <v>46091</v>
      </c>
    </row>
    <row r="236" spans="1:12" x14ac:dyDescent="0.2">
      <c r="C236" t="s">
        <v>1350</v>
      </c>
      <c r="D236" t="s">
        <v>1359</v>
      </c>
      <c r="E236">
        <v>1992</v>
      </c>
      <c r="F236" t="s">
        <v>455</v>
      </c>
      <c r="G236" t="s">
        <v>11</v>
      </c>
      <c r="H236" t="s">
        <v>306</v>
      </c>
      <c r="K236" t="s">
        <v>1282</v>
      </c>
      <c r="L236" s="11">
        <v>46091</v>
      </c>
    </row>
    <row r="237" spans="1:12" x14ac:dyDescent="0.2">
      <c r="C237" t="s">
        <v>1350</v>
      </c>
      <c r="D237" t="s">
        <v>1360</v>
      </c>
      <c r="E237">
        <v>1975</v>
      </c>
      <c r="F237" t="s">
        <v>455</v>
      </c>
      <c r="G237" t="s">
        <v>110</v>
      </c>
      <c r="H237" t="s">
        <v>558</v>
      </c>
      <c r="K237" t="s">
        <v>1282</v>
      </c>
      <c r="L237" s="11">
        <v>46091</v>
      </c>
    </row>
    <row r="238" spans="1:12" x14ac:dyDescent="0.2">
      <c r="C238" t="s">
        <v>1350</v>
      </c>
      <c r="D238" t="s">
        <v>1361</v>
      </c>
      <c r="E238">
        <v>1985</v>
      </c>
      <c r="F238" t="s">
        <v>455</v>
      </c>
      <c r="G238" t="s">
        <v>18</v>
      </c>
      <c r="H238" t="s">
        <v>97</v>
      </c>
      <c r="K238" t="s">
        <v>1084</v>
      </c>
      <c r="L238" s="11">
        <v>46091</v>
      </c>
    </row>
    <row r="239" spans="1:12" x14ac:dyDescent="0.2">
      <c r="C239" t="s">
        <v>1350</v>
      </c>
      <c r="D239" t="s">
        <v>1362</v>
      </c>
      <c r="E239">
        <v>2004</v>
      </c>
      <c r="F239" t="s">
        <v>695</v>
      </c>
      <c r="G239" t="s">
        <v>1328</v>
      </c>
      <c r="H239" t="s">
        <v>725</v>
      </c>
      <c r="I239" t="s">
        <v>1364</v>
      </c>
      <c r="K239" t="s">
        <v>1282</v>
      </c>
      <c r="L239" s="11">
        <v>46091</v>
      </c>
    </row>
    <row r="240" spans="1:12" x14ac:dyDescent="0.2">
      <c r="C240" t="s">
        <v>1350</v>
      </c>
      <c r="D240" t="s">
        <v>1363</v>
      </c>
      <c r="E240">
        <v>2000</v>
      </c>
      <c r="F240" t="s">
        <v>491</v>
      </c>
      <c r="G240" t="s">
        <v>18</v>
      </c>
      <c r="H240" t="s">
        <v>725</v>
      </c>
      <c r="K240" t="s">
        <v>1365</v>
      </c>
      <c r="L240" s="11">
        <v>46091</v>
      </c>
    </row>
    <row r="241" spans="1:12" x14ac:dyDescent="0.2">
      <c r="C241" t="s">
        <v>1350</v>
      </c>
      <c r="D241" t="s">
        <v>1366</v>
      </c>
      <c r="E241">
        <v>2002</v>
      </c>
      <c r="F241" t="s">
        <v>455</v>
      </c>
      <c r="G241" t="s">
        <v>11</v>
      </c>
      <c r="H241" t="s">
        <v>333</v>
      </c>
      <c r="K241" t="s">
        <v>1282</v>
      </c>
      <c r="L241" s="11">
        <v>46091</v>
      </c>
    </row>
    <row r="242" spans="1:12" x14ac:dyDescent="0.2">
      <c r="A242">
        <f>_xlfn.XLOOKUP(D242, [1]Raphanus_specimens_all_2025!G:G, [1]Raphanus_specimens_all_2025!A:A, "")</f>
        <v>2137472</v>
      </c>
      <c r="B242">
        <v>2137472</v>
      </c>
      <c r="C242" t="s">
        <v>861</v>
      </c>
      <c r="D242" t="s">
        <v>867</v>
      </c>
      <c r="E242">
        <v>1996</v>
      </c>
      <c r="F242" t="s">
        <v>868</v>
      </c>
      <c r="G242" t="s">
        <v>110</v>
      </c>
      <c r="H242" t="s">
        <v>791</v>
      </c>
      <c r="I242" t="s">
        <v>526</v>
      </c>
    </row>
    <row r="243" spans="1:12" x14ac:dyDescent="0.2">
      <c r="A243">
        <f>_xlfn.XLOOKUP(D243, [1]Raphanus_specimens_all_2025!G:G, [1]Raphanus_specimens_all_2025!A:A, "")</f>
        <v>2137472</v>
      </c>
      <c r="B243">
        <v>2137472</v>
      </c>
      <c r="C243" t="s">
        <v>861</v>
      </c>
      <c r="D243" t="s">
        <v>867</v>
      </c>
      <c r="E243">
        <v>1996</v>
      </c>
      <c r="F243" t="s">
        <v>908</v>
      </c>
      <c r="G243" t="s">
        <v>110</v>
      </c>
      <c r="H243" t="s">
        <v>379</v>
      </c>
      <c r="I243" t="s">
        <v>910</v>
      </c>
    </row>
    <row r="244" spans="1:12" x14ac:dyDescent="0.2">
      <c r="A244">
        <f>_xlfn.XLOOKUP(D244, [1]Raphanus_specimens_all_2025!G:G, [1]Raphanus_specimens_all_2025!A:A, "")</f>
        <v>2057748</v>
      </c>
      <c r="B244">
        <v>2057748</v>
      </c>
      <c r="C244" t="s">
        <v>861</v>
      </c>
      <c r="D244" t="s">
        <v>899</v>
      </c>
      <c r="E244" t="s">
        <v>900</v>
      </c>
      <c r="F244" t="s">
        <v>503</v>
      </c>
      <c r="G244" t="s">
        <v>110</v>
      </c>
      <c r="H244" t="s">
        <v>791</v>
      </c>
    </row>
    <row r="245" spans="1:12" x14ac:dyDescent="0.2">
      <c r="A245">
        <f>_xlfn.XLOOKUP(D245, [1]Raphanus_specimens_all_2025!G:G, [1]Raphanus_specimens_all_2025!A:A, "")</f>
        <v>2061660</v>
      </c>
      <c r="B245">
        <v>2061660</v>
      </c>
      <c r="C245" t="s">
        <v>861</v>
      </c>
      <c r="D245" t="s">
        <v>893</v>
      </c>
      <c r="E245">
        <v>1953</v>
      </c>
      <c r="F245" t="s">
        <v>894</v>
      </c>
      <c r="G245" t="s">
        <v>11</v>
      </c>
      <c r="H245" t="s">
        <v>897</v>
      </c>
    </row>
    <row r="246" spans="1:12" x14ac:dyDescent="0.2">
      <c r="A246">
        <f>_xlfn.XLOOKUP(D246, [1]Raphanus_specimens_all_2025!G:G, [1]Raphanus_specimens_all_2025!A:A, "")</f>
        <v>3452051</v>
      </c>
      <c r="B246">
        <v>2030475</v>
      </c>
      <c r="C246" t="s">
        <v>861</v>
      </c>
      <c r="D246" t="s">
        <v>549</v>
      </c>
      <c r="E246">
        <v>1966</v>
      </c>
      <c r="F246" t="s">
        <v>915</v>
      </c>
      <c r="G246" t="s">
        <v>11</v>
      </c>
      <c r="H246" t="s">
        <v>78</v>
      </c>
    </row>
    <row r="247" spans="1:12" x14ac:dyDescent="0.2">
      <c r="A247">
        <f>_xlfn.XLOOKUP(D247, [1]Raphanus_specimens_all_2025!G:G, [1]Raphanus_specimens_all_2025!A:A, "")</f>
        <v>2039506</v>
      </c>
      <c r="B247">
        <v>2039506</v>
      </c>
      <c r="C247" t="s">
        <v>861</v>
      </c>
      <c r="D247" t="s">
        <v>881</v>
      </c>
      <c r="E247">
        <v>1971</v>
      </c>
      <c r="F247" t="s">
        <v>882</v>
      </c>
      <c r="G247" t="s">
        <v>11</v>
      </c>
      <c r="H247" t="s">
        <v>783</v>
      </c>
    </row>
    <row r="248" spans="1:12" x14ac:dyDescent="0.2">
      <c r="A248">
        <f>_xlfn.XLOOKUP(D248, [1]Raphanus_specimens_all_2025!G:G, [1]Raphanus_specimens_all_2025!A:A, "")</f>
        <v>2034914</v>
      </c>
      <c r="B248">
        <v>2034914</v>
      </c>
      <c r="C248" t="s">
        <v>861</v>
      </c>
      <c r="D248" t="s">
        <v>884</v>
      </c>
      <c r="E248">
        <v>1975</v>
      </c>
      <c r="F248" t="s">
        <v>844</v>
      </c>
      <c r="G248" t="s">
        <v>11</v>
      </c>
      <c r="H248" t="s">
        <v>25</v>
      </c>
    </row>
    <row r="249" spans="1:12" x14ac:dyDescent="0.2">
      <c r="A249">
        <f>_xlfn.XLOOKUP(D249, [1]Raphanus_specimens_all_2025!G:G, [1]Raphanus_specimens_all_2025!A:A, "")</f>
        <v>2056948</v>
      </c>
      <c r="B249">
        <v>2056948</v>
      </c>
      <c r="C249" t="s">
        <v>861</v>
      </c>
      <c r="D249" t="s">
        <v>930</v>
      </c>
      <c r="E249">
        <v>1977</v>
      </c>
      <c r="F249" t="s">
        <v>923</v>
      </c>
      <c r="G249" t="s">
        <v>11</v>
      </c>
      <c r="H249" t="s">
        <v>791</v>
      </c>
    </row>
    <row r="250" spans="1:12" x14ac:dyDescent="0.2">
      <c r="A250">
        <f>_xlfn.XLOOKUP(D250, [1]Raphanus_specimens_all_2025!G:G, [1]Raphanus_specimens_all_2025!A:A, "")</f>
        <v>2040704</v>
      </c>
      <c r="B250">
        <v>2040704</v>
      </c>
      <c r="C250" t="s">
        <v>861</v>
      </c>
      <c r="D250" t="s">
        <v>876</v>
      </c>
      <c r="E250">
        <v>1978</v>
      </c>
      <c r="F250" t="s">
        <v>877</v>
      </c>
      <c r="G250" t="s">
        <v>11</v>
      </c>
      <c r="H250" t="s">
        <v>306</v>
      </c>
      <c r="I250" t="s">
        <v>526</v>
      </c>
    </row>
    <row r="251" spans="1:12" x14ac:dyDescent="0.2">
      <c r="A251">
        <f>_xlfn.XLOOKUP(D251, [1]Raphanus_specimens_all_2025!G:G, [1]Raphanus_specimens_all_2025!A:A, "")</f>
        <v>2044164</v>
      </c>
      <c r="B251">
        <v>2044164</v>
      </c>
      <c r="C251" t="s">
        <v>861</v>
      </c>
      <c r="D251" t="s">
        <v>907</v>
      </c>
      <c r="E251">
        <v>1979</v>
      </c>
      <c r="F251" t="s">
        <v>774</v>
      </c>
      <c r="G251" t="s">
        <v>11</v>
      </c>
      <c r="H251" t="s">
        <v>906</v>
      </c>
    </row>
    <row r="252" spans="1:12" x14ac:dyDescent="0.2">
      <c r="A252">
        <f>_xlfn.XLOOKUP(D252, [1]Raphanus_specimens_all_2025!G:G, [1]Raphanus_specimens_all_2025!A:A, "")</f>
        <v>2049533</v>
      </c>
      <c r="B252">
        <v>2049533</v>
      </c>
      <c r="C252" t="s">
        <v>861</v>
      </c>
      <c r="D252" t="s">
        <v>880</v>
      </c>
      <c r="E252">
        <v>1982</v>
      </c>
      <c r="F252" t="s">
        <v>671</v>
      </c>
      <c r="G252" t="s">
        <v>11</v>
      </c>
      <c r="H252" t="s">
        <v>306</v>
      </c>
    </row>
    <row r="253" spans="1:12" x14ac:dyDescent="0.2">
      <c r="A253">
        <f>_xlfn.XLOOKUP(D253, [1]Raphanus_specimens_all_2025!G:G, [1]Raphanus_specimens_all_2025!A:A, "")</f>
        <v>2049534</v>
      </c>
      <c r="B253">
        <v>2049534</v>
      </c>
      <c r="C253" t="s">
        <v>861</v>
      </c>
      <c r="D253" t="s">
        <v>905</v>
      </c>
      <c r="E253">
        <v>1982</v>
      </c>
      <c r="F253" t="s">
        <v>472</v>
      </c>
      <c r="G253" t="s">
        <v>11</v>
      </c>
      <c r="H253" t="s">
        <v>906</v>
      </c>
      <c r="J253" t="s">
        <v>904</v>
      </c>
    </row>
    <row r="254" spans="1:12" x14ac:dyDescent="0.2">
      <c r="A254" t="s">
        <v>845</v>
      </c>
      <c r="B254" t="s">
        <v>845</v>
      </c>
      <c r="C254" t="s">
        <v>861</v>
      </c>
      <c r="D254" t="s">
        <v>920</v>
      </c>
      <c r="E254">
        <v>1982</v>
      </c>
      <c r="F254" t="s">
        <v>503</v>
      </c>
      <c r="G254" t="s">
        <v>11</v>
      </c>
      <c r="H254" t="s">
        <v>78</v>
      </c>
      <c r="I254" t="s">
        <v>919</v>
      </c>
    </row>
    <row r="255" spans="1:12" x14ac:dyDescent="0.2">
      <c r="A255">
        <f>_xlfn.XLOOKUP(D255, [1]Raphanus_specimens_all_2025!G:G, [1]Raphanus_specimens_all_2025!A:A, "")</f>
        <v>2049904</v>
      </c>
      <c r="B255">
        <v>2049904</v>
      </c>
      <c r="C255" t="s">
        <v>861</v>
      </c>
      <c r="D255" t="s">
        <v>922</v>
      </c>
      <c r="E255">
        <v>1982</v>
      </c>
      <c r="F255" t="s">
        <v>671</v>
      </c>
      <c r="G255" t="s">
        <v>11</v>
      </c>
      <c r="H255" t="s">
        <v>670</v>
      </c>
    </row>
    <row r="256" spans="1:12" x14ac:dyDescent="0.2">
      <c r="A256">
        <f>_xlfn.XLOOKUP(D256, [1]Raphanus_specimens_all_2025!G:G, [1]Raphanus_specimens_all_2025!A:A, "")</f>
        <v>2049536</v>
      </c>
      <c r="B256">
        <v>2049536</v>
      </c>
      <c r="C256" t="s">
        <v>861</v>
      </c>
      <c r="D256" t="s">
        <v>927</v>
      </c>
      <c r="E256">
        <v>1982</v>
      </c>
      <c r="F256" t="s">
        <v>503</v>
      </c>
      <c r="G256" t="s">
        <v>11</v>
      </c>
      <c r="H256" t="s">
        <v>926</v>
      </c>
    </row>
    <row r="257" spans="1:10" x14ac:dyDescent="0.2">
      <c r="A257">
        <f>_xlfn.XLOOKUP(D257, [1]Raphanus_specimens_all_2025!G:G, [1]Raphanus_specimens_all_2025!A:A, "")</f>
        <v>2071627</v>
      </c>
      <c r="B257">
        <v>2071627</v>
      </c>
      <c r="C257" t="s">
        <v>861</v>
      </c>
      <c r="D257" t="s">
        <v>918</v>
      </c>
      <c r="E257">
        <v>1996</v>
      </c>
      <c r="F257" t="s">
        <v>844</v>
      </c>
      <c r="G257" t="s">
        <v>11</v>
      </c>
      <c r="H257" t="s">
        <v>78</v>
      </c>
    </row>
    <row r="258" spans="1:10" x14ac:dyDescent="0.2">
      <c r="A258">
        <f>_xlfn.XLOOKUP(D258, [1]Raphanus_specimens_all_2025!G:G, [1]Raphanus_specimens_all_2025!A:A, "")</f>
        <v>2124078</v>
      </c>
      <c r="B258">
        <v>2124078</v>
      </c>
      <c r="C258" t="s">
        <v>861</v>
      </c>
      <c r="D258" t="s">
        <v>886</v>
      </c>
      <c r="E258">
        <v>2007</v>
      </c>
      <c r="F258" t="s">
        <v>823</v>
      </c>
      <c r="G258" t="s">
        <v>11</v>
      </c>
      <c r="H258" t="s">
        <v>670</v>
      </c>
    </row>
    <row r="259" spans="1:10" x14ac:dyDescent="0.2">
      <c r="A259">
        <f>_xlfn.XLOOKUP(D259, [1]Raphanus_specimens_all_2025!G:G, [1]Raphanus_specimens_all_2025!A:A, "")</f>
        <v>2132998</v>
      </c>
      <c r="B259">
        <v>2132998</v>
      </c>
      <c r="C259" t="s">
        <v>861</v>
      </c>
      <c r="D259" t="s">
        <v>887</v>
      </c>
      <c r="E259">
        <v>2012</v>
      </c>
      <c r="F259" t="s">
        <v>823</v>
      </c>
      <c r="G259" t="s">
        <v>11</v>
      </c>
      <c r="H259" t="s">
        <v>791</v>
      </c>
    </row>
    <row r="260" spans="1:10" x14ac:dyDescent="0.2">
      <c r="A260">
        <f>_xlfn.XLOOKUP(D260, [1]Raphanus_specimens_all_2025!G:G, [1]Raphanus_specimens_all_2025!A:A, "")</f>
        <v>2133518</v>
      </c>
      <c r="B260">
        <v>2133518</v>
      </c>
      <c r="C260" t="s">
        <v>861</v>
      </c>
      <c r="D260" t="s">
        <v>888</v>
      </c>
      <c r="E260">
        <v>2013</v>
      </c>
      <c r="F260" t="s">
        <v>891</v>
      </c>
      <c r="G260" t="s">
        <v>11</v>
      </c>
      <c r="H260" t="s">
        <v>889</v>
      </c>
      <c r="I260" t="s">
        <v>631</v>
      </c>
    </row>
    <row r="261" spans="1:10" x14ac:dyDescent="0.2">
      <c r="A261">
        <f>_xlfn.XLOOKUP(D261, [1]Raphanus_specimens_all_2025!G:G, [1]Raphanus_specimens_all_2025!A:A, "")</f>
        <v>3828689</v>
      </c>
      <c r="B261">
        <v>3828689</v>
      </c>
      <c r="C261" t="s">
        <v>861</v>
      </c>
      <c r="D261" t="s">
        <v>890</v>
      </c>
      <c r="E261">
        <v>2019</v>
      </c>
      <c r="F261" t="s">
        <v>795</v>
      </c>
      <c r="G261" t="s">
        <v>11</v>
      </c>
      <c r="H261" t="s">
        <v>670</v>
      </c>
      <c r="I261" t="s">
        <v>892</v>
      </c>
    </row>
    <row r="262" spans="1:10" x14ac:dyDescent="0.2">
      <c r="A262">
        <f>_xlfn.XLOOKUP(D262, [1]Raphanus_specimens_all_2025!G:G, [1]Raphanus_specimens_all_2025!A:A, "")</f>
        <v>2061482</v>
      </c>
      <c r="B262">
        <v>2061482</v>
      </c>
      <c r="C262" t="s">
        <v>861</v>
      </c>
      <c r="D262" t="s">
        <v>878</v>
      </c>
      <c r="E262">
        <v>1935</v>
      </c>
      <c r="F262" t="s">
        <v>823</v>
      </c>
      <c r="G262" t="s">
        <v>696</v>
      </c>
      <c r="H262" t="s">
        <v>670</v>
      </c>
      <c r="I262" t="s">
        <v>879</v>
      </c>
    </row>
    <row r="263" spans="1:10" x14ac:dyDescent="0.2">
      <c r="A263">
        <f>_xlfn.XLOOKUP(D263, [1]Raphanus_specimens_all_2025!G:G, [1]Raphanus_specimens_all_2025!A:A, "")</f>
        <v>5872887</v>
      </c>
      <c r="B263">
        <v>5872887</v>
      </c>
      <c r="C263" t="s">
        <v>861</v>
      </c>
      <c r="D263" t="s">
        <v>872</v>
      </c>
      <c r="E263">
        <v>1968</v>
      </c>
      <c r="F263" t="s">
        <v>764</v>
      </c>
      <c r="G263" t="s">
        <v>696</v>
      </c>
      <c r="H263" t="s">
        <v>670</v>
      </c>
      <c r="I263" t="s">
        <v>873</v>
      </c>
    </row>
    <row r="264" spans="1:10" x14ac:dyDescent="0.2">
      <c r="A264">
        <f>_xlfn.XLOOKUP(D264, [1]Raphanus_specimens_all_2025!G:G, [1]Raphanus_specimens_all_2025!A:A, "")</f>
        <v>2061578</v>
      </c>
      <c r="B264">
        <v>2061578</v>
      </c>
      <c r="C264" t="s">
        <v>861</v>
      </c>
      <c r="D264" t="s">
        <v>856</v>
      </c>
      <c r="E264">
        <v>1938</v>
      </c>
      <c r="F264" t="s">
        <v>858</v>
      </c>
      <c r="G264" t="s">
        <v>369</v>
      </c>
      <c r="H264" t="s">
        <v>857</v>
      </c>
    </row>
    <row r="265" spans="1:10" x14ac:dyDescent="0.2">
      <c r="A265">
        <f>_xlfn.XLOOKUP(D265, [1]Raphanus_specimens_all_2025!G:G, [1]Raphanus_specimens_all_2025!A:A, "")</f>
        <v>2051496</v>
      </c>
      <c r="B265">
        <v>2051496</v>
      </c>
      <c r="C265" t="s">
        <v>861</v>
      </c>
      <c r="D265" t="s">
        <v>885</v>
      </c>
      <c r="E265">
        <v>1967</v>
      </c>
      <c r="F265" t="s">
        <v>503</v>
      </c>
      <c r="G265" t="s">
        <v>437</v>
      </c>
      <c r="H265" t="s">
        <v>78</v>
      </c>
    </row>
    <row r="266" spans="1:10" x14ac:dyDescent="0.2">
      <c r="A266">
        <f>_xlfn.XLOOKUP(D266, [1]Raphanus_specimens_all_2025!G:G, [1]Raphanus_specimens_all_2025!A:A, "")</f>
        <v>5872878</v>
      </c>
      <c r="B266">
        <v>5872878</v>
      </c>
      <c r="C266" t="s">
        <v>861</v>
      </c>
      <c r="D266" t="s">
        <v>869</v>
      </c>
      <c r="E266">
        <v>1968</v>
      </c>
      <c r="F266" t="s">
        <v>472</v>
      </c>
      <c r="G266" t="s">
        <v>437</v>
      </c>
      <c r="H266" t="s">
        <v>670</v>
      </c>
      <c r="I266" t="s">
        <v>871</v>
      </c>
      <c r="J266" t="s">
        <v>870</v>
      </c>
    </row>
    <row r="267" spans="1:10" x14ac:dyDescent="0.2">
      <c r="A267">
        <f>_xlfn.XLOOKUP(D267, [1]Raphanus_specimens_all_2025!G:G, [1]Raphanus_specimens_all_2025!A:A, "")</f>
        <v>2051858</v>
      </c>
      <c r="B267">
        <v>2051858</v>
      </c>
      <c r="C267" t="s">
        <v>861</v>
      </c>
      <c r="D267" t="s">
        <v>902</v>
      </c>
      <c r="E267">
        <v>1982</v>
      </c>
      <c r="F267" t="s">
        <v>774</v>
      </c>
      <c r="G267" t="s">
        <v>437</v>
      </c>
      <c r="H267" t="s">
        <v>903</v>
      </c>
      <c r="J267" t="s">
        <v>904</v>
      </c>
    </row>
    <row r="268" spans="1:10" x14ac:dyDescent="0.2">
      <c r="A268">
        <f>_xlfn.XLOOKUP(D268, [1]Raphanus_specimens_all_2025!G:G, [1]Raphanus_specimens_all_2025!A:A, "")</f>
        <v>2049555</v>
      </c>
      <c r="B268">
        <v>2049555</v>
      </c>
      <c r="C268" t="s">
        <v>861</v>
      </c>
      <c r="D268" t="s">
        <v>865</v>
      </c>
      <c r="E268">
        <v>1983</v>
      </c>
      <c r="F268" t="s">
        <v>823</v>
      </c>
      <c r="G268" t="s">
        <v>437</v>
      </c>
      <c r="H268" t="s">
        <v>25</v>
      </c>
      <c r="J268" t="s">
        <v>864</v>
      </c>
    </row>
    <row r="269" spans="1:10" x14ac:dyDescent="0.2">
      <c r="A269">
        <f>_xlfn.XLOOKUP(D269, [1]Raphanus_specimens_all_2025!G:G, [1]Raphanus_specimens_all_2025!A:A, "")</f>
        <v>2049555</v>
      </c>
      <c r="B269">
        <v>2049555</v>
      </c>
      <c r="C269" t="s">
        <v>861</v>
      </c>
      <c r="D269" t="s">
        <v>865</v>
      </c>
      <c r="E269">
        <v>1983</v>
      </c>
      <c r="F269" t="s">
        <v>808</v>
      </c>
      <c r="G269" t="s">
        <v>437</v>
      </c>
      <c r="H269" t="s">
        <v>25</v>
      </c>
      <c r="I269" t="s">
        <v>910</v>
      </c>
    </row>
    <row r="270" spans="1:10" x14ac:dyDescent="0.2">
      <c r="A270">
        <f>_xlfn.XLOOKUP(D270, [1]Raphanus_specimens_all_2025!G:G, [1]Raphanus_specimens_all_2025!A:A, "")</f>
        <v>2079339</v>
      </c>
      <c r="B270">
        <v>2079339</v>
      </c>
      <c r="C270" t="s">
        <v>861</v>
      </c>
      <c r="D270" t="s">
        <v>862</v>
      </c>
      <c r="E270">
        <v>1987</v>
      </c>
      <c r="F270" t="s">
        <v>823</v>
      </c>
      <c r="G270" t="s">
        <v>437</v>
      </c>
      <c r="H270" t="s">
        <v>670</v>
      </c>
    </row>
    <row r="271" spans="1:10" x14ac:dyDescent="0.2">
      <c r="A271">
        <f>_xlfn.XLOOKUP(D271, [1]Raphanus_specimens_all_2025!G:G, [1]Raphanus_specimens_all_2025!A:A, "")</f>
        <v>2070005</v>
      </c>
      <c r="B271">
        <v>2070005</v>
      </c>
      <c r="C271" t="s">
        <v>861</v>
      </c>
      <c r="D271" t="s">
        <v>916</v>
      </c>
      <c r="E271">
        <v>1995</v>
      </c>
      <c r="F271" t="s">
        <v>503</v>
      </c>
      <c r="G271" t="s">
        <v>437</v>
      </c>
      <c r="H271" t="s">
        <v>78</v>
      </c>
      <c r="I271" t="s">
        <v>418</v>
      </c>
    </row>
    <row r="272" spans="1:10" x14ac:dyDescent="0.2">
      <c r="A272">
        <f>_xlfn.XLOOKUP(D272, [1]Raphanus_specimens_all_2025!G:G, [1]Raphanus_specimens_all_2025!A:A, "")</f>
        <v>2071112</v>
      </c>
      <c r="B272">
        <v>2071112</v>
      </c>
      <c r="C272" t="s">
        <v>861</v>
      </c>
      <c r="D272" t="s">
        <v>917</v>
      </c>
      <c r="E272">
        <v>1996</v>
      </c>
      <c r="F272" t="s">
        <v>503</v>
      </c>
      <c r="G272" t="s">
        <v>437</v>
      </c>
      <c r="H272" t="s">
        <v>78</v>
      </c>
      <c r="I272" t="s">
        <v>631</v>
      </c>
    </row>
    <row r="273" spans="1:9" x14ac:dyDescent="0.2">
      <c r="A273" t="s">
        <v>845</v>
      </c>
      <c r="B273" t="s">
        <v>845</v>
      </c>
      <c r="C273" t="s">
        <v>861</v>
      </c>
      <c r="D273" t="s">
        <v>912</v>
      </c>
      <c r="E273">
        <v>2006</v>
      </c>
      <c r="F273" t="s">
        <v>774</v>
      </c>
      <c r="G273" t="s">
        <v>437</v>
      </c>
      <c r="H273" t="s">
        <v>306</v>
      </c>
      <c r="I273" t="s">
        <v>913</v>
      </c>
    </row>
    <row r="274" spans="1:9" x14ac:dyDescent="0.2">
      <c r="A274">
        <f>_xlfn.XLOOKUP(D274, [1]Raphanus_specimens_all_2025!G:G, [1]Raphanus_specimens_all_2025!A:A, "")</f>
        <v>2061760</v>
      </c>
      <c r="B274">
        <v>2061760</v>
      </c>
      <c r="C274" t="s">
        <v>861</v>
      </c>
      <c r="D274" t="s">
        <v>883</v>
      </c>
      <c r="E274">
        <v>1965</v>
      </c>
      <c r="F274" t="s">
        <v>503</v>
      </c>
      <c r="G274" t="s">
        <v>18</v>
      </c>
      <c r="H274" t="s">
        <v>520</v>
      </c>
    </row>
    <row r="275" spans="1:9" x14ac:dyDescent="0.2">
      <c r="A275">
        <f>_xlfn.XLOOKUP(D275, [1]Raphanus_specimens_all_2025!G:G, [1]Raphanus_specimens_all_2025!A:A, "")</f>
        <v>5737995</v>
      </c>
      <c r="B275">
        <v>5737995</v>
      </c>
      <c r="C275" t="s">
        <v>861</v>
      </c>
      <c r="D275" t="s">
        <v>874</v>
      </c>
      <c r="E275">
        <v>1973</v>
      </c>
      <c r="F275" t="s">
        <v>671</v>
      </c>
      <c r="G275" t="s">
        <v>18</v>
      </c>
      <c r="H275" t="s">
        <v>78</v>
      </c>
    </row>
    <row r="276" spans="1:9" x14ac:dyDescent="0.2">
      <c r="A276">
        <f>_xlfn.XLOOKUP(D276, [1]Raphanus_specimens_all_2025!G:G, [1]Raphanus_specimens_all_2025!A:A, "")</f>
        <v>2046467</v>
      </c>
      <c r="B276">
        <v>2046467</v>
      </c>
      <c r="C276" t="s">
        <v>861</v>
      </c>
      <c r="D276" t="s">
        <v>875</v>
      </c>
      <c r="E276">
        <v>1982</v>
      </c>
      <c r="F276" t="s">
        <v>671</v>
      </c>
      <c r="G276" t="s">
        <v>18</v>
      </c>
      <c r="H276" t="s">
        <v>25</v>
      </c>
    </row>
    <row r="277" spans="1:9" x14ac:dyDescent="0.2">
      <c r="A277" t="s">
        <v>845</v>
      </c>
      <c r="B277" t="s">
        <v>845</v>
      </c>
      <c r="C277" t="s">
        <v>861</v>
      </c>
      <c r="D277" t="s">
        <v>921</v>
      </c>
      <c r="E277">
        <v>1983</v>
      </c>
      <c r="F277" t="s">
        <v>503</v>
      </c>
      <c r="G277" t="s">
        <v>18</v>
      </c>
      <c r="H277" t="s">
        <v>306</v>
      </c>
    </row>
    <row r="278" spans="1:9" x14ac:dyDescent="0.2">
      <c r="A278">
        <f>_xlfn.XLOOKUP(D278, [1]Raphanus_specimens_all_2025!G:G, [1]Raphanus_specimens_all_2025!A:A, "")</f>
        <v>2057404</v>
      </c>
      <c r="B278">
        <v>2057404</v>
      </c>
      <c r="C278" t="s">
        <v>861</v>
      </c>
      <c r="D278" t="s">
        <v>928</v>
      </c>
      <c r="E278">
        <v>1985</v>
      </c>
      <c r="F278" t="s">
        <v>291</v>
      </c>
      <c r="G278" t="s">
        <v>18</v>
      </c>
      <c r="H278" t="s">
        <v>78</v>
      </c>
    </row>
    <row r="279" spans="1:9" x14ac:dyDescent="0.2">
      <c r="A279">
        <f>_xlfn.XLOOKUP(D279, [1]Raphanus_specimens_all_2025!G:G, [1]Raphanus_specimens_all_2025!A:A, "")</f>
        <v>2107639</v>
      </c>
      <c r="B279">
        <v>2107639</v>
      </c>
      <c r="C279" t="s">
        <v>861</v>
      </c>
      <c r="D279" t="s">
        <v>863</v>
      </c>
      <c r="E279">
        <v>1987</v>
      </c>
      <c r="F279" t="s">
        <v>823</v>
      </c>
      <c r="G279" t="s">
        <v>18</v>
      </c>
      <c r="H279" t="s">
        <v>791</v>
      </c>
    </row>
    <row r="280" spans="1:9" x14ac:dyDescent="0.2">
      <c r="A280">
        <f>_xlfn.XLOOKUP(D280, [1]Raphanus_specimens_all_2025!G:G, [1]Raphanus_specimens_all_2025!A:A, "")</f>
        <v>2107639</v>
      </c>
      <c r="B280">
        <v>2107639</v>
      </c>
      <c r="C280" t="s">
        <v>861</v>
      </c>
      <c r="D280" t="s">
        <v>863</v>
      </c>
      <c r="E280">
        <v>1987</v>
      </c>
      <c r="F280" t="s">
        <v>909</v>
      </c>
      <c r="G280" t="s">
        <v>18</v>
      </c>
      <c r="H280" t="s">
        <v>791</v>
      </c>
      <c r="I280" t="s">
        <v>910</v>
      </c>
    </row>
    <row r="281" spans="1:9" x14ac:dyDescent="0.2">
      <c r="A281">
        <f>_xlfn.XLOOKUP(D281, [1]Raphanus_specimens_all_2025!G:G, [1]Raphanus_specimens_all_2025!A:A, "")</f>
        <v>2085275</v>
      </c>
      <c r="B281">
        <v>2085275</v>
      </c>
      <c r="C281" t="s">
        <v>861</v>
      </c>
      <c r="D281" t="s">
        <v>860</v>
      </c>
      <c r="E281">
        <v>1997</v>
      </c>
      <c r="F281" t="s">
        <v>503</v>
      </c>
      <c r="G281" t="s">
        <v>18</v>
      </c>
      <c r="H281" t="s">
        <v>78</v>
      </c>
    </row>
    <row r="282" spans="1:9" x14ac:dyDescent="0.2">
      <c r="A282">
        <f>_xlfn.XLOOKUP(D282, [1]Raphanus_specimens_all_2025!G:G, [1]Raphanus_specimens_all_2025!A:A, "")</f>
        <v>2085539</v>
      </c>
      <c r="B282">
        <v>2085539</v>
      </c>
      <c r="C282" t="s">
        <v>861</v>
      </c>
      <c r="D282" t="s">
        <v>859</v>
      </c>
      <c r="E282">
        <v>2000</v>
      </c>
      <c r="F282" t="s">
        <v>503</v>
      </c>
      <c r="G282" t="s">
        <v>18</v>
      </c>
      <c r="H282" t="s">
        <v>78</v>
      </c>
    </row>
    <row r="283" spans="1:9" x14ac:dyDescent="0.2">
      <c r="A283">
        <f>_xlfn.XLOOKUP(D283, [1]Raphanus_specimens_all_2025!G:G, [1]Raphanus_specimens_all_2025!A:A, "")</f>
        <v>2125798</v>
      </c>
      <c r="B283">
        <v>2125798</v>
      </c>
      <c r="C283" t="s">
        <v>861</v>
      </c>
      <c r="D283" t="s">
        <v>914</v>
      </c>
      <c r="E283">
        <v>2007</v>
      </c>
      <c r="F283" t="s">
        <v>671</v>
      </c>
      <c r="G283" t="s">
        <v>18</v>
      </c>
      <c r="H283" t="s">
        <v>78</v>
      </c>
    </row>
    <row r="284" spans="1:9" x14ac:dyDescent="0.2">
      <c r="A284">
        <f>_xlfn.XLOOKUP(D284, [1]Raphanus_specimens_all_2025!G:G, [1]Raphanus_specimens_all_2025!A:A, "")</f>
        <v>2146635</v>
      </c>
      <c r="B284">
        <v>2146635</v>
      </c>
      <c r="C284" t="s">
        <v>861</v>
      </c>
      <c r="D284" t="s">
        <v>929</v>
      </c>
      <c r="E284">
        <v>2008</v>
      </c>
      <c r="F284" t="s">
        <v>503</v>
      </c>
      <c r="G284" t="s">
        <v>18</v>
      </c>
      <c r="H284" t="s">
        <v>306</v>
      </c>
    </row>
    <row r="285" spans="1:9" x14ac:dyDescent="0.2">
      <c r="A285">
        <f>_xlfn.XLOOKUP(D285, [1]Raphanus_specimens_all_2025!G:G, [1]Raphanus_specimens_all_2025!A:A, "")</f>
        <v>2134739</v>
      </c>
      <c r="B285">
        <v>2134739</v>
      </c>
      <c r="C285" t="s">
        <v>861</v>
      </c>
      <c r="D285" t="s">
        <v>866</v>
      </c>
      <c r="E285">
        <v>2009</v>
      </c>
      <c r="F285" t="s">
        <v>795</v>
      </c>
      <c r="G285" t="s">
        <v>18</v>
      </c>
      <c r="H285" t="s">
        <v>379</v>
      </c>
      <c r="I285" t="s">
        <v>514</v>
      </c>
    </row>
    <row r="286" spans="1:9" x14ac:dyDescent="0.2">
      <c r="A286">
        <f>_xlfn.XLOOKUP(D286, [1]Raphanus_specimens_all_2025!G:G, [1]Raphanus_specimens_all_2025!A:A, "")</f>
        <v>2134739</v>
      </c>
      <c r="B286">
        <v>2134739</v>
      </c>
      <c r="C286" t="s">
        <v>861</v>
      </c>
      <c r="D286" t="s">
        <v>866</v>
      </c>
      <c r="E286">
        <v>2009</v>
      </c>
      <c r="F286" t="s">
        <v>671</v>
      </c>
      <c r="G286" t="s">
        <v>18</v>
      </c>
      <c r="H286" t="s">
        <v>379</v>
      </c>
      <c r="I286" t="s">
        <v>911</v>
      </c>
    </row>
    <row r="287" spans="1:9" x14ac:dyDescent="0.2">
      <c r="A287">
        <f>_xlfn.XLOOKUP(D287, [1]Raphanus_specimens_all_2025!G:G, [1]Raphanus_specimens_all_2025!A:A, "")</f>
        <v>2046466</v>
      </c>
      <c r="B287">
        <v>2046466</v>
      </c>
      <c r="C287" t="s">
        <v>861</v>
      </c>
      <c r="D287" t="s">
        <v>901</v>
      </c>
      <c r="E287">
        <v>1982</v>
      </c>
      <c r="F287" t="s">
        <v>574</v>
      </c>
      <c r="G287" t="s">
        <v>785</v>
      </c>
      <c r="H287" t="s">
        <v>306</v>
      </c>
    </row>
    <row r="288" spans="1:9" x14ac:dyDescent="0.2">
      <c r="A288">
        <f>_xlfn.XLOOKUP(D288, [1]Raphanus_specimens_all_2025!G:G, [1]Raphanus_specimens_all_2025!A:A, "")</f>
        <v>2120835</v>
      </c>
      <c r="B288">
        <v>2120835</v>
      </c>
      <c r="C288" t="s">
        <v>861</v>
      </c>
      <c r="D288" t="s">
        <v>924</v>
      </c>
      <c r="E288">
        <v>2005</v>
      </c>
      <c r="F288" t="s">
        <v>449</v>
      </c>
      <c r="G288" t="s">
        <v>785</v>
      </c>
      <c r="H288" t="s">
        <v>25</v>
      </c>
      <c r="I288" t="s">
        <v>925</v>
      </c>
    </row>
    <row r="289" spans="1:12" x14ac:dyDescent="0.2">
      <c r="A289">
        <f>_xlfn.XLOOKUP(D289, [1]Raphanus_specimens_all_2025!G:G, [1]Raphanus_specimens_all_2025!A:A, "")</f>
        <v>2061832</v>
      </c>
      <c r="B289">
        <v>2061832</v>
      </c>
      <c r="C289" t="s">
        <v>861</v>
      </c>
      <c r="D289" t="s">
        <v>895</v>
      </c>
      <c r="E289">
        <v>1965</v>
      </c>
      <c r="F289" t="s">
        <v>896</v>
      </c>
      <c r="H289" t="s">
        <v>898</v>
      </c>
    </row>
    <row r="290" spans="1:12" x14ac:dyDescent="0.2">
      <c r="A290">
        <f>_xlfn.XLOOKUP(D290, [1]Raphanus_specimens_all_2025!G:G, [1]Raphanus_specimens_all_2025!A:A, "")</f>
        <v>1367984</v>
      </c>
      <c r="B290">
        <v>1367984</v>
      </c>
      <c r="C290" t="s">
        <v>1140</v>
      </c>
      <c r="D290" t="s">
        <v>1158</v>
      </c>
      <c r="E290">
        <v>1942</v>
      </c>
      <c r="F290" t="s">
        <v>1040</v>
      </c>
      <c r="G290" t="s">
        <v>11</v>
      </c>
      <c r="H290" t="s">
        <v>25</v>
      </c>
      <c r="K290" t="s">
        <v>1081</v>
      </c>
      <c r="L290" s="11">
        <v>45952</v>
      </c>
    </row>
    <row r="291" spans="1:12" x14ac:dyDescent="0.2">
      <c r="A291">
        <f>_xlfn.XLOOKUP(D291, [1]Raphanus_specimens_all_2025!G:G, [1]Raphanus_specimens_all_2025!A:A, "")</f>
        <v>1399262</v>
      </c>
      <c r="B291">
        <v>1399262</v>
      </c>
      <c r="C291" t="s">
        <v>1140</v>
      </c>
      <c r="D291" t="s">
        <v>1159</v>
      </c>
      <c r="E291">
        <v>2015</v>
      </c>
      <c r="F291" t="s">
        <v>985</v>
      </c>
      <c r="G291" t="s">
        <v>11</v>
      </c>
      <c r="H291" t="s">
        <v>1153</v>
      </c>
      <c r="K291" t="s">
        <v>1081</v>
      </c>
      <c r="L291" s="11">
        <v>45952</v>
      </c>
    </row>
    <row r="292" spans="1:12" x14ac:dyDescent="0.2">
      <c r="A292">
        <v>6053255</v>
      </c>
      <c r="B292">
        <v>6053255</v>
      </c>
      <c r="C292" t="s">
        <v>1140</v>
      </c>
      <c r="D292" t="s">
        <v>1141</v>
      </c>
      <c r="E292">
        <v>2024</v>
      </c>
      <c r="F292" t="s">
        <v>713</v>
      </c>
      <c r="G292" t="s">
        <v>11</v>
      </c>
      <c r="H292" t="s">
        <v>1142</v>
      </c>
      <c r="I292" t="s">
        <v>1127</v>
      </c>
      <c r="K292" t="s">
        <v>1084</v>
      </c>
      <c r="L292" s="11">
        <v>45952</v>
      </c>
    </row>
    <row r="293" spans="1:12" x14ac:dyDescent="0.2">
      <c r="A293">
        <f>_xlfn.XLOOKUP(D293, [1]Raphanus_specimens_all_2025!G:G, [1]Raphanus_specimens_all_2025!A:A, "")</f>
        <v>1372819</v>
      </c>
      <c r="B293">
        <v>1372819</v>
      </c>
      <c r="C293" t="s">
        <v>1140</v>
      </c>
      <c r="D293" t="s">
        <v>1155</v>
      </c>
      <c r="E293">
        <v>2012</v>
      </c>
      <c r="F293" t="s">
        <v>1092</v>
      </c>
      <c r="G293" t="s">
        <v>696</v>
      </c>
      <c r="H293" t="s">
        <v>1156</v>
      </c>
      <c r="K293" t="s">
        <v>1081</v>
      </c>
      <c r="L293" s="11">
        <v>45952</v>
      </c>
    </row>
    <row r="294" spans="1:12" x14ac:dyDescent="0.2">
      <c r="A294">
        <f>_xlfn.XLOOKUP(D294, [1]Raphanus_specimens_all_2025!G:G, [1]Raphanus_specimens_all_2025!A:A, "")</f>
        <v>1367985</v>
      </c>
      <c r="B294">
        <v>1367985</v>
      </c>
      <c r="C294" t="s">
        <v>1140</v>
      </c>
      <c r="D294" t="s">
        <v>1160</v>
      </c>
      <c r="E294">
        <v>2000</v>
      </c>
      <c r="F294" t="s">
        <v>671</v>
      </c>
      <c r="G294" t="s">
        <v>437</v>
      </c>
      <c r="H294" t="s">
        <v>1161</v>
      </c>
      <c r="K294" t="s">
        <v>1084</v>
      </c>
      <c r="L294" s="11">
        <v>45952</v>
      </c>
    </row>
    <row r="295" spans="1:12" x14ac:dyDescent="0.2">
      <c r="A295">
        <f>_xlfn.XLOOKUP(D295, [1]Raphanus_specimens_all_2025!G:G, [1]Raphanus_specimens_all_2025!A:A, "")</f>
        <v>1336457</v>
      </c>
      <c r="B295">
        <v>1336457</v>
      </c>
      <c r="C295" t="s">
        <v>1140</v>
      </c>
      <c r="D295" t="s">
        <v>1157</v>
      </c>
      <c r="E295">
        <v>2009</v>
      </c>
      <c r="F295" t="s">
        <v>503</v>
      </c>
      <c r="G295" t="s">
        <v>437</v>
      </c>
      <c r="H295" t="s">
        <v>906</v>
      </c>
      <c r="I295" t="s">
        <v>418</v>
      </c>
      <c r="K295" t="s">
        <v>1084</v>
      </c>
      <c r="L295" s="11">
        <v>45952</v>
      </c>
    </row>
    <row r="296" spans="1:12" x14ac:dyDescent="0.2">
      <c r="A296">
        <f>_xlfn.XLOOKUP(D296, [1]Raphanus_specimens_all_2025!G:G, [1]Raphanus_specimens_all_2025!A:A, "")</f>
        <v>1367980</v>
      </c>
      <c r="B296">
        <v>1367980</v>
      </c>
      <c r="C296" t="s">
        <v>1140</v>
      </c>
      <c r="D296" t="s">
        <v>1149</v>
      </c>
      <c r="E296">
        <v>1951</v>
      </c>
      <c r="F296" t="s">
        <v>1151</v>
      </c>
      <c r="G296" t="s">
        <v>18</v>
      </c>
      <c r="H296" t="s">
        <v>670</v>
      </c>
      <c r="I296" t="s">
        <v>1150</v>
      </c>
      <c r="K296" t="s">
        <v>1084</v>
      </c>
      <c r="L296" s="11">
        <v>45952</v>
      </c>
    </row>
    <row r="297" spans="1:12" x14ac:dyDescent="0.2">
      <c r="A297">
        <f>_xlfn.XLOOKUP(D297, [1]Raphanus_specimens_all_2025!G:G, [1]Raphanus_specimens_all_2025!A:A, "")</f>
        <v>1300530</v>
      </c>
      <c r="B297">
        <v>1300530</v>
      </c>
      <c r="C297" t="s">
        <v>1140</v>
      </c>
      <c r="D297" t="s">
        <v>1152</v>
      </c>
      <c r="E297">
        <v>2000</v>
      </c>
      <c r="F297" t="s">
        <v>1092</v>
      </c>
      <c r="G297" t="s">
        <v>18</v>
      </c>
      <c r="H297" t="s">
        <v>1153</v>
      </c>
      <c r="I297" t="s">
        <v>1154</v>
      </c>
      <c r="K297" t="s">
        <v>1081</v>
      </c>
      <c r="L297" s="11">
        <v>45952</v>
      </c>
    </row>
    <row r="298" spans="1:12" x14ac:dyDescent="0.2">
      <c r="A298">
        <f>_xlfn.XLOOKUP(D298, [1]Raphanus_specimens_all_2025!G:G, [1]Raphanus_specimens_all_2025!A:A, "")</f>
        <v>1336458</v>
      </c>
      <c r="B298">
        <v>1336458</v>
      </c>
      <c r="C298" t="s">
        <v>1140</v>
      </c>
      <c r="D298" t="s">
        <v>1143</v>
      </c>
      <c r="E298">
        <v>2009</v>
      </c>
      <c r="F298" t="s">
        <v>1144</v>
      </c>
      <c r="G298" t="s">
        <v>18</v>
      </c>
      <c r="H298" t="s">
        <v>670</v>
      </c>
      <c r="K298" t="s">
        <v>1084</v>
      </c>
      <c r="L298" s="11">
        <v>45952</v>
      </c>
    </row>
    <row r="299" spans="1:12" x14ac:dyDescent="0.2">
      <c r="A299">
        <f>_xlfn.XLOOKUP(D299, [1]Raphanus_specimens_all_2025!G:G, [1]Raphanus_specimens_all_2025!A:A, "")</f>
        <v>1399259</v>
      </c>
      <c r="B299">
        <v>1399259</v>
      </c>
      <c r="C299" t="s">
        <v>1140</v>
      </c>
      <c r="D299" t="s">
        <v>1145</v>
      </c>
      <c r="E299">
        <v>2015</v>
      </c>
      <c r="F299" t="s">
        <v>1147</v>
      </c>
      <c r="G299" t="s">
        <v>18</v>
      </c>
      <c r="H299" t="s">
        <v>1146</v>
      </c>
      <c r="I299" t="s">
        <v>1148</v>
      </c>
      <c r="K299" t="s">
        <v>1081</v>
      </c>
      <c r="L299" s="11">
        <v>45952</v>
      </c>
    </row>
    <row r="300" spans="1:12" x14ac:dyDescent="0.2">
      <c r="A300">
        <f>_xlfn.XLOOKUP(D300, [1]Raphanus_specimens_all_2025!G:G, [1]Raphanus_specimens_all_2025!A:A, "")</f>
        <v>1368057</v>
      </c>
      <c r="B300">
        <v>1368057</v>
      </c>
      <c r="C300" t="s">
        <v>1140</v>
      </c>
      <c r="D300" t="s">
        <v>1208</v>
      </c>
      <c r="E300">
        <v>1930</v>
      </c>
      <c r="F300" t="s">
        <v>647</v>
      </c>
      <c r="G300" t="s">
        <v>110</v>
      </c>
      <c r="H300" t="s">
        <v>635</v>
      </c>
      <c r="K300" t="s">
        <v>1084</v>
      </c>
      <c r="L300" s="11">
        <v>45965</v>
      </c>
    </row>
    <row r="301" spans="1:12" x14ac:dyDescent="0.2">
      <c r="A301">
        <f>_xlfn.XLOOKUP(D301, [1]Raphanus_specimens_all_2025!G:G, [1]Raphanus_specimens_all_2025!A:A, "")</f>
        <v>1327836</v>
      </c>
      <c r="B301">
        <v>1327836</v>
      </c>
      <c r="C301" t="s">
        <v>1140</v>
      </c>
      <c r="D301" s="13" t="s">
        <v>1210</v>
      </c>
      <c r="E301">
        <v>2000</v>
      </c>
      <c r="F301" t="s">
        <v>1192</v>
      </c>
      <c r="G301" t="s">
        <v>110</v>
      </c>
      <c r="H301" t="s">
        <v>791</v>
      </c>
      <c r="I301" t="s">
        <v>1262</v>
      </c>
      <c r="K301" t="s">
        <v>1084</v>
      </c>
      <c r="L301" s="11">
        <v>45965</v>
      </c>
    </row>
    <row r="302" spans="1:12" x14ac:dyDescent="0.2">
      <c r="A302">
        <f>_xlfn.XLOOKUP(D302, [1]Raphanus_specimens_all_2025!G:G, [1]Raphanus_specimens_all_2025!A:A, "")</f>
        <v>1368028</v>
      </c>
      <c r="B302">
        <v>1368028</v>
      </c>
      <c r="C302" t="s">
        <v>1140</v>
      </c>
      <c r="D302" t="s">
        <v>1203</v>
      </c>
      <c r="E302">
        <v>1914</v>
      </c>
      <c r="F302" t="s">
        <v>1206</v>
      </c>
      <c r="G302" t="s">
        <v>11</v>
      </c>
      <c r="H302" t="s">
        <v>25</v>
      </c>
      <c r="I302" t="s">
        <v>526</v>
      </c>
      <c r="K302" t="s">
        <v>1081</v>
      </c>
      <c r="L302" s="11">
        <v>45965</v>
      </c>
    </row>
    <row r="303" spans="1:12" x14ac:dyDescent="0.2">
      <c r="A303">
        <f>_xlfn.XLOOKUP(D303, [1]Raphanus_specimens_all_2025!G:G, [1]Raphanus_specimens_all_2025!A:A, "")</f>
        <v>1367991</v>
      </c>
      <c r="B303">
        <v>1367991</v>
      </c>
      <c r="C303" t="s">
        <v>1140</v>
      </c>
      <c r="D303" t="s">
        <v>1185</v>
      </c>
      <c r="E303">
        <v>1917</v>
      </c>
      <c r="F303" t="s">
        <v>671</v>
      </c>
      <c r="G303" t="s">
        <v>11</v>
      </c>
      <c r="H303" t="s">
        <v>670</v>
      </c>
      <c r="I303" t="s">
        <v>1187</v>
      </c>
      <c r="K303" t="s">
        <v>1081</v>
      </c>
      <c r="L303" s="11">
        <v>45965</v>
      </c>
    </row>
    <row r="304" spans="1:12" x14ac:dyDescent="0.2">
      <c r="A304">
        <f>_xlfn.XLOOKUP(D304, [1]Raphanus_specimens_all_2025!G:G, [1]Raphanus_specimens_all_2025!A:A, "")</f>
        <v>1367992</v>
      </c>
      <c r="B304">
        <v>1367992</v>
      </c>
      <c r="C304" t="s">
        <v>1140</v>
      </c>
      <c r="D304" t="s">
        <v>1186</v>
      </c>
      <c r="E304">
        <v>1917</v>
      </c>
      <c r="F304" t="s">
        <v>708</v>
      </c>
      <c r="G304" t="s">
        <v>11</v>
      </c>
      <c r="H304" t="s">
        <v>25</v>
      </c>
      <c r="K304" t="s">
        <v>1081</v>
      </c>
      <c r="L304" s="11">
        <v>45965</v>
      </c>
    </row>
    <row r="305" spans="1:12" x14ac:dyDescent="0.2">
      <c r="A305">
        <f>_xlfn.XLOOKUP(D305, [1]Raphanus_specimens_all_2025!G:G, [1]Raphanus_specimens_all_2025!A:A, "")</f>
        <v>1368001</v>
      </c>
      <c r="B305">
        <v>1368001</v>
      </c>
      <c r="C305" t="s">
        <v>1140</v>
      </c>
      <c r="D305" t="s">
        <v>1193</v>
      </c>
      <c r="E305">
        <v>1932</v>
      </c>
      <c r="F305" t="s">
        <v>1023</v>
      </c>
      <c r="G305" t="s">
        <v>11</v>
      </c>
      <c r="H305" t="s">
        <v>25</v>
      </c>
      <c r="I305" t="s">
        <v>1195</v>
      </c>
      <c r="K305" t="s">
        <v>1081</v>
      </c>
      <c r="L305" s="11">
        <v>45965</v>
      </c>
    </row>
    <row r="306" spans="1:12" x14ac:dyDescent="0.2">
      <c r="A306">
        <f>_xlfn.XLOOKUP(D306, [1]Raphanus_specimens_all_2025!G:G, [1]Raphanus_specimens_all_2025!A:A, "")</f>
        <v>1368035</v>
      </c>
      <c r="B306">
        <v>1368035</v>
      </c>
      <c r="C306" t="s">
        <v>1140</v>
      </c>
      <c r="D306" t="s">
        <v>1205</v>
      </c>
      <c r="E306">
        <v>1933</v>
      </c>
      <c r="F306" t="s">
        <v>974</v>
      </c>
      <c r="G306" t="s">
        <v>696</v>
      </c>
      <c r="H306" t="s">
        <v>635</v>
      </c>
      <c r="I306" t="s">
        <v>526</v>
      </c>
      <c r="K306" t="s">
        <v>1081</v>
      </c>
      <c r="L306" s="11">
        <v>45965</v>
      </c>
    </row>
    <row r="307" spans="1:12" x14ac:dyDescent="0.2">
      <c r="A307">
        <f>_xlfn.XLOOKUP(D307, [1]Raphanus_specimens_all_2025!G:G, [1]Raphanus_specimens_all_2025!A:A, "")</f>
        <v>1302899</v>
      </c>
      <c r="B307">
        <v>1302899</v>
      </c>
      <c r="C307" t="s">
        <v>1140</v>
      </c>
      <c r="D307" t="s">
        <v>1182</v>
      </c>
      <c r="E307">
        <v>2003</v>
      </c>
      <c r="F307" t="s">
        <v>503</v>
      </c>
      <c r="G307" t="s">
        <v>369</v>
      </c>
      <c r="H307" t="s">
        <v>322</v>
      </c>
      <c r="I307" t="s">
        <v>514</v>
      </c>
      <c r="K307" t="s">
        <v>1086</v>
      </c>
      <c r="L307" s="11">
        <v>45965</v>
      </c>
    </row>
    <row r="308" spans="1:12" x14ac:dyDescent="0.2">
      <c r="A308">
        <f>_xlfn.XLOOKUP(D308, [1]Raphanus_specimens_all_2025!G:G, [1]Raphanus_specimens_all_2025!A:A, "")</f>
        <v>1368029</v>
      </c>
      <c r="B308">
        <v>1368029</v>
      </c>
      <c r="C308" t="s">
        <v>1140</v>
      </c>
      <c r="D308" t="s">
        <v>1202</v>
      </c>
      <c r="E308">
        <v>1914</v>
      </c>
      <c r="F308" t="s">
        <v>1204</v>
      </c>
      <c r="G308" t="s">
        <v>437</v>
      </c>
      <c r="H308" t="s">
        <v>25</v>
      </c>
      <c r="K308" t="s">
        <v>1081</v>
      </c>
      <c r="L308" s="11">
        <v>45965</v>
      </c>
    </row>
    <row r="309" spans="1:12" x14ac:dyDescent="0.2">
      <c r="A309">
        <f>_xlfn.XLOOKUP(D309, [1]Raphanus_specimens_all_2025!G:G, [1]Raphanus_specimens_all_2025!A:A, "")</f>
        <v>1367990</v>
      </c>
      <c r="B309">
        <v>1367990</v>
      </c>
      <c r="C309" t="s">
        <v>1140</v>
      </c>
      <c r="D309" t="s">
        <v>1183</v>
      </c>
      <c r="E309">
        <v>1917</v>
      </c>
      <c r="F309" t="s">
        <v>1067</v>
      </c>
      <c r="G309" t="s">
        <v>437</v>
      </c>
      <c r="I309" t="s">
        <v>514</v>
      </c>
      <c r="K309" t="s">
        <v>1084</v>
      </c>
      <c r="L309" s="11">
        <v>45965</v>
      </c>
    </row>
    <row r="310" spans="1:12" x14ac:dyDescent="0.2">
      <c r="A310">
        <f>_xlfn.XLOOKUP(D310, [1]Raphanus_specimens_all_2025!G:G, [1]Raphanus_specimens_all_2025!A:A, "")</f>
        <v>1368053</v>
      </c>
      <c r="B310">
        <v>1368053</v>
      </c>
      <c r="C310" t="s">
        <v>1140</v>
      </c>
      <c r="D310" t="s">
        <v>1207</v>
      </c>
      <c r="E310">
        <v>1927</v>
      </c>
      <c r="F310" t="s">
        <v>1199</v>
      </c>
      <c r="G310" t="s">
        <v>437</v>
      </c>
      <c r="H310" t="s">
        <v>25</v>
      </c>
      <c r="K310" t="s">
        <v>1084</v>
      </c>
      <c r="L310" s="11">
        <v>45965</v>
      </c>
    </row>
    <row r="311" spans="1:12" x14ac:dyDescent="0.2">
      <c r="A311">
        <f>_xlfn.XLOOKUP(D311, [1]Raphanus_specimens_all_2025!G:G, [1]Raphanus_specimens_all_2025!A:A, "")</f>
        <v>1368036</v>
      </c>
      <c r="B311">
        <v>1368036</v>
      </c>
      <c r="C311" t="s">
        <v>1140</v>
      </c>
      <c r="D311" t="s">
        <v>1189</v>
      </c>
      <c r="E311">
        <v>1941</v>
      </c>
      <c r="F311" t="s">
        <v>1190</v>
      </c>
      <c r="G311" t="s">
        <v>437</v>
      </c>
      <c r="H311" t="s">
        <v>670</v>
      </c>
      <c r="K311" t="s">
        <v>1081</v>
      </c>
      <c r="L311" s="11">
        <v>45965</v>
      </c>
    </row>
    <row r="312" spans="1:12" x14ac:dyDescent="0.2">
      <c r="A312">
        <f>_xlfn.XLOOKUP(D312, [1]Raphanus_specimens_all_2025!G:G, [1]Raphanus_specimens_all_2025!A:A, "")</f>
        <v>1368038</v>
      </c>
      <c r="B312">
        <v>1368038</v>
      </c>
      <c r="C312" t="s">
        <v>1140</v>
      </c>
      <c r="D312" t="s">
        <v>1184</v>
      </c>
      <c r="E312">
        <v>1943</v>
      </c>
      <c r="F312" t="s">
        <v>774</v>
      </c>
      <c r="G312" t="s">
        <v>437</v>
      </c>
      <c r="H312" t="s">
        <v>25</v>
      </c>
      <c r="I312" t="s">
        <v>514</v>
      </c>
      <c r="K312" t="s">
        <v>1084</v>
      </c>
      <c r="L312" s="11">
        <v>45965</v>
      </c>
    </row>
    <row r="313" spans="1:12" x14ac:dyDescent="0.2">
      <c r="A313">
        <f>_xlfn.XLOOKUP(D313, [1]Raphanus_specimens_all_2025!G:G, [1]Raphanus_specimens_all_2025!A:A, "")</f>
        <v>1337204</v>
      </c>
      <c r="B313">
        <v>1337204</v>
      </c>
      <c r="C313" t="s">
        <v>1140</v>
      </c>
      <c r="D313" t="s">
        <v>1181</v>
      </c>
      <c r="E313">
        <v>2002</v>
      </c>
      <c r="F313" t="s">
        <v>1015</v>
      </c>
      <c r="G313" t="s">
        <v>437</v>
      </c>
      <c r="H313" t="s">
        <v>1180</v>
      </c>
      <c r="K313" t="s">
        <v>1084</v>
      </c>
      <c r="L313" s="11">
        <v>45965</v>
      </c>
    </row>
    <row r="314" spans="1:12" x14ac:dyDescent="0.2">
      <c r="A314">
        <f>_xlfn.XLOOKUP(D314, [1]Raphanus_specimens_all_2025!G:G, [1]Raphanus_specimens_all_2025!A:A, "")</f>
        <v>1368008</v>
      </c>
      <c r="B314">
        <v>1368008</v>
      </c>
      <c r="C314" t="s">
        <v>1140</v>
      </c>
      <c r="D314" t="s">
        <v>1196</v>
      </c>
      <c r="E314">
        <v>2006</v>
      </c>
      <c r="F314" t="s">
        <v>1023</v>
      </c>
      <c r="G314" t="s">
        <v>437</v>
      </c>
      <c r="H314" t="s">
        <v>25</v>
      </c>
      <c r="I314" t="s">
        <v>873</v>
      </c>
      <c r="K314" t="s">
        <v>1084</v>
      </c>
      <c r="L314" s="11">
        <v>45965</v>
      </c>
    </row>
    <row r="315" spans="1:12" x14ac:dyDescent="0.2">
      <c r="A315">
        <f>_xlfn.XLOOKUP(D315, [1]Raphanus_specimens_all_2025!G:G, [1]Raphanus_specimens_all_2025!A:A, "")</f>
        <v>1368010</v>
      </c>
      <c r="B315">
        <v>1368010</v>
      </c>
      <c r="C315" t="s">
        <v>1140</v>
      </c>
      <c r="D315" t="s">
        <v>1201</v>
      </c>
      <c r="E315">
        <v>2007</v>
      </c>
      <c r="F315" t="s">
        <v>795</v>
      </c>
      <c r="G315" t="s">
        <v>437</v>
      </c>
      <c r="H315" t="s">
        <v>670</v>
      </c>
      <c r="K315" t="s">
        <v>1084</v>
      </c>
      <c r="L315" s="11">
        <v>45965</v>
      </c>
    </row>
    <row r="316" spans="1:12" x14ac:dyDescent="0.2">
      <c r="A316">
        <f>_xlfn.XLOOKUP(D316, [1]Raphanus_specimens_all_2025!G:G, [1]Raphanus_specimens_all_2025!A:A, "")</f>
        <v>1368006</v>
      </c>
      <c r="B316">
        <v>1368006</v>
      </c>
      <c r="C316" t="s">
        <v>1140</v>
      </c>
      <c r="D316" t="s">
        <v>1197</v>
      </c>
      <c r="E316">
        <v>1914</v>
      </c>
      <c r="F316" t="s">
        <v>1199</v>
      </c>
      <c r="G316" t="s">
        <v>18</v>
      </c>
      <c r="H316" t="s">
        <v>25</v>
      </c>
      <c r="K316" t="s">
        <v>1084</v>
      </c>
      <c r="L316" s="11">
        <v>45965</v>
      </c>
    </row>
    <row r="317" spans="1:12" x14ac:dyDescent="0.2">
      <c r="A317">
        <f>_xlfn.XLOOKUP(D317, [1]Raphanus_specimens_all_2025!G:G, [1]Raphanus_specimens_all_2025!A:A, "")</f>
        <v>1368002</v>
      </c>
      <c r="B317">
        <v>1368002</v>
      </c>
      <c r="C317" t="s">
        <v>1140</v>
      </c>
      <c r="D317" t="s">
        <v>1194</v>
      </c>
      <c r="E317">
        <v>1929</v>
      </c>
      <c r="F317" t="s">
        <v>408</v>
      </c>
      <c r="G317" t="s">
        <v>18</v>
      </c>
      <c r="H317" t="s">
        <v>25</v>
      </c>
      <c r="I317" t="s">
        <v>526</v>
      </c>
      <c r="K317" t="s">
        <v>1084</v>
      </c>
      <c r="L317" s="11">
        <v>45965</v>
      </c>
    </row>
    <row r="318" spans="1:12" x14ac:dyDescent="0.2">
      <c r="A318">
        <f>_xlfn.XLOOKUP(D318, [1]Raphanus_specimens_all_2025!G:G, [1]Raphanus_specimens_all_2025!A:A, "")</f>
        <v>1367988</v>
      </c>
      <c r="B318">
        <v>1367988</v>
      </c>
      <c r="C318" t="s">
        <v>1140</v>
      </c>
      <c r="D318" t="s">
        <v>1179</v>
      </c>
      <c r="E318">
        <v>1944</v>
      </c>
      <c r="F318" t="s">
        <v>774</v>
      </c>
      <c r="G318" t="s">
        <v>18</v>
      </c>
      <c r="H318" t="s">
        <v>670</v>
      </c>
      <c r="K318" t="s">
        <v>1084</v>
      </c>
      <c r="L318" s="11">
        <v>45965</v>
      </c>
    </row>
    <row r="319" spans="1:12" x14ac:dyDescent="0.2">
      <c r="A319">
        <f>_xlfn.XLOOKUP(D319, [1]Raphanus_specimens_all_2025!G:G, [1]Raphanus_specimens_all_2025!A:A, "")</f>
        <v>1368007</v>
      </c>
      <c r="B319">
        <v>1368007</v>
      </c>
      <c r="C319" t="s">
        <v>1140</v>
      </c>
      <c r="D319" t="s">
        <v>1198</v>
      </c>
      <c r="E319">
        <v>2006</v>
      </c>
      <c r="F319" t="s">
        <v>799</v>
      </c>
      <c r="G319" t="s">
        <v>18</v>
      </c>
      <c r="H319" t="s">
        <v>670</v>
      </c>
      <c r="K319" t="s">
        <v>1200</v>
      </c>
      <c r="L319" s="11">
        <v>45965</v>
      </c>
    </row>
    <row r="320" spans="1:12" x14ac:dyDescent="0.2">
      <c r="A320">
        <f>_xlfn.XLOOKUP(D320, [1]Raphanus_specimens_all_2025!G:G, [1]Raphanus_specimens_all_2025!A:A, "")</f>
        <v>2963303</v>
      </c>
      <c r="B320">
        <v>2963303</v>
      </c>
      <c r="C320" t="s">
        <v>1140</v>
      </c>
      <c r="D320" t="s">
        <v>1191</v>
      </c>
      <c r="E320">
        <v>2019</v>
      </c>
      <c r="F320" t="s">
        <v>915</v>
      </c>
      <c r="G320" t="s">
        <v>18</v>
      </c>
      <c r="H320" t="s">
        <v>25</v>
      </c>
      <c r="I320" t="s">
        <v>514</v>
      </c>
      <c r="K320" t="s">
        <v>1081</v>
      </c>
      <c r="L320" s="11">
        <v>45965</v>
      </c>
    </row>
    <row r="321" spans="1:12" x14ac:dyDescent="0.2">
      <c r="A321">
        <f>_xlfn.XLOOKUP(D321, [1]Raphanus_specimens_all_2025!G:G, [1]Raphanus_specimens_all_2025!A:A, "")</f>
        <v>1312145</v>
      </c>
      <c r="B321">
        <v>1312145</v>
      </c>
      <c r="C321" t="s">
        <v>1140</v>
      </c>
      <c r="D321" t="s">
        <v>1162</v>
      </c>
      <c r="E321">
        <v>1902</v>
      </c>
      <c r="F321" t="s">
        <v>1163</v>
      </c>
      <c r="G321" t="s">
        <v>785</v>
      </c>
      <c r="H321" t="s">
        <v>78</v>
      </c>
      <c r="K321" t="s">
        <v>1084</v>
      </c>
      <c r="L321" s="11">
        <v>45965</v>
      </c>
    </row>
    <row r="322" spans="1:12" x14ac:dyDescent="0.2">
      <c r="A322">
        <f>_xlfn.XLOOKUP(D322, [1]Raphanus_specimens_all_2025!G:G, [1]Raphanus_specimens_all_2025!A:A, "")</f>
        <v>1311269</v>
      </c>
      <c r="B322">
        <v>1311269</v>
      </c>
      <c r="C322" t="s">
        <v>1140</v>
      </c>
      <c r="D322" t="s">
        <v>1217</v>
      </c>
      <c r="E322">
        <v>1902</v>
      </c>
      <c r="F322" t="s">
        <v>503</v>
      </c>
      <c r="G322" t="s">
        <v>11</v>
      </c>
      <c r="H322" t="s">
        <v>906</v>
      </c>
      <c r="K322" t="s">
        <v>1081</v>
      </c>
      <c r="L322" s="11">
        <v>45968</v>
      </c>
    </row>
    <row r="323" spans="1:12" x14ac:dyDescent="0.2">
      <c r="A323">
        <f>_xlfn.XLOOKUP(D323, [1]Raphanus_specimens_all_2025!G:G, [1]Raphanus_specimens_all_2025!A:A, "")</f>
        <v>1312007</v>
      </c>
      <c r="B323">
        <v>1312007</v>
      </c>
      <c r="C323" t="s">
        <v>1140</v>
      </c>
      <c r="D323" t="s">
        <v>1218</v>
      </c>
      <c r="E323">
        <v>1902</v>
      </c>
      <c r="F323" t="s">
        <v>594</v>
      </c>
      <c r="G323" t="s">
        <v>785</v>
      </c>
      <c r="H323" t="s">
        <v>906</v>
      </c>
      <c r="I323" t="s">
        <v>1219</v>
      </c>
      <c r="K323" t="s">
        <v>1084</v>
      </c>
      <c r="L323" s="11">
        <v>45968</v>
      </c>
    </row>
    <row r="324" spans="1:12" x14ac:dyDescent="0.2">
      <c r="A324">
        <f>_xlfn.XLOOKUP(D324, [1]Raphanus_specimens_all_2025!G:G, [1]Raphanus_specimens_all_2025!A:A, "")</f>
        <v>1367983</v>
      </c>
      <c r="B324">
        <v>1367983</v>
      </c>
      <c r="C324" t="s">
        <v>1140</v>
      </c>
      <c r="D324" t="s">
        <v>1259</v>
      </c>
      <c r="E324">
        <v>1992</v>
      </c>
      <c r="F324" t="s">
        <v>1261</v>
      </c>
      <c r="G324" t="s">
        <v>110</v>
      </c>
      <c r="H324" t="s">
        <v>906</v>
      </c>
      <c r="K324" t="s">
        <v>1081</v>
      </c>
      <c r="L324" s="11">
        <v>45971</v>
      </c>
    </row>
    <row r="325" spans="1:12" x14ac:dyDescent="0.2">
      <c r="A325">
        <f>_xlfn.XLOOKUP(D325, [1]Raphanus_specimens_all_2025!G:G, [1]Raphanus_specimens_all_2025!A:A, "")</f>
        <v>1367989</v>
      </c>
      <c r="B325">
        <v>1367989</v>
      </c>
      <c r="C325" t="s">
        <v>1140</v>
      </c>
      <c r="D325" t="s">
        <v>1251</v>
      </c>
      <c r="E325">
        <v>1992</v>
      </c>
      <c r="F325" t="s">
        <v>671</v>
      </c>
      <c r="G325" t="s">
        <v>11</v>
      </c>
      <c r="H325" t="s">
        <v>803</v>
      </c>
      <c r="K325" t="s">
        <v>1084</v>
      </c>
      <c r="L325" s="11">
        <v>45971</v>
      </c>
    </row>
    <row r="326" spans="1:12" x14ac:dyDescent="0.2">
      <c r="A326">
        <f>_xlfn.XLOOKUP(D326, [1]Raphanus_specimens_all_2025!G:G, [1]Raphanus_specimens_all_2025!A:A, "")</f>
        <v>1333957</v>
      </c>
      <c r="B326">
        <v>1333957</v>
      </c>
      <c r="C326" t="s">
        <v>1140</v>
      </c>
      <c r="D326" t="s">
        <v>1247</v>
      </c>
      <c r="E326">
        <v>1995</v>
      </c>
      <c r="F326" t="s">
        <v>1229</v>
      </c>
      <c r="G326" t="s">
        <v>11</v>
      </c>
      <c r="H326" t="s">
        <v>471</v>
      </c>
      <c r="K326" t="s">
        <v>1081</v>
      </c>
      <c r="L326" s="11">
        <v>45971</v>
      </c>
    </row>
    <row r="327" spans="1:12" x14ac:dyDescent="0.2">
      <c r="A327" t="s">
        <v>1268</v>
      </c>
      <c r="B327" t="s">
        <v>845</v>
      </c>
      <c r="C327" t="s">
        <v>1140</v>
      </c>
      <c r="D327" t="s">
        <v>1260</v>
      </c>
      <c r="E327">
        <v>1995</v>
      </c>
      <c r="F327" t="s">
        <v>671</v>
      </c>
      <c r="G327" t="s">
        <v>11</v>
      </c>
      <c r="H327" t="s">
        <v>906</v>
      </c>
      <c r="K327" t="s">
        <v>1081</v>
      </c>
      <c r="L327" s="11">
        <v>45971</v>
      </c>
    </row>
    <row r="328" spans="1:12" x14ac:dyDescent="0.2">
      <c r="A328">
        <f>_xlfn.XLOOKUP(D328, [1]Raphanus_specimens_all_2025!G:G, [1]Raphanus_specimens_all_2025!A:A, "")</f>
        <v>1399260</v>
      </c>
      <c r="B328">
        <v>1399260</v>
      </c>
      <c r="C328" t="s">
        <v>1140</v>
      </c>
      <c r="D328" t="s">
        <v>1249</v>
      </c>
      <c r="E328">
        <v>2015</v>
      </c>
      <c r="F328" t="s">
        <v>1246</v>
      </c>
      <c r="G328" t="s">
        <v>11</v>
      </c>
      <c r="H328" t="s">
        <v>676</v>
      </c>
      <c r="K328" t="s">
        <v>1081</v>
      </c>
      <c r="L328" s="11">
        <v>45971</v>
      </c>
    </row>
    <row r="329" spans="1:12" x14ac:dyDescent="0.2">
      <c r="A329">
        <f>_xlfn.XLOOKUP(D329, [1]Raphanus_specimens_all_2025!G:G, [1]Raphanus_specimens_all_2025!A:A, "")</f>
        <v>6003808</v>
      </c>
      <c r="B329">
        <v>6003808</v>
      </c>
      <c r="C329" t="s">
        <v>1140</v>
      </c>
      <c r="D329" t="s">
        <v>1269</v>
      </c>
      <c r="E329">
        <v>2024</v>
      </c>
      <c r="F329" t="s">
        <v>1246</v>
      </c>
      <c r="G329" t="s">
        <v>11</v>
      </c>
      <c r="H329" t="s">
        <v>1252</v>
      </c>
      <c r="I329" t="s">
        <v>1219</v>
      </c>
      <c r="K329" t="s">
        <v>1081</v>
      </c>
      <c r="L329" s="11">
        <v>45971</v>
      </c>
    </row>
    <row r="330" spans="1:12" x14ac:dyDescent="0.2">
      <c r="A330">
        <f>_xlfn.XLOOKUP(D330, [1]Raphanus_specimens_all_2025!G:G, [1]Raphanus_specimens_all_2025!A:A, "")</f>
        <v>1367986</v>
      </c>
      <c r="B330">
        <v>1367986</v>
      </c>
      <c r="C330" t="s">
        <v>1140</v>
      </c>
      <c r="D330" t="s">
        <v>1248</v>
      </c>
      <c r="E330">
        <v>1963</v>
      </c>
      <c r="F330" t="s">
        <v>656</v>
      </c>
      <c r="G330" t="s">
        <v>437</v>
      </c>
      <c r="H330" t="s">
        <v>78</v>
      </c>
      <c r="I330" t="s">
        <v>1250</v>
      </c>
      <c r="K330" t="s">
        <v>1081</v>
      </c>
      <c r="L330" s="11">
        <v>45971</v>
      </c>
    </row>
    <row r="331" spans="1:12" x14ac:dyDescent="0.2">
      <c r="A331">
        <f>_xlfn.XLOOKUP(D331, [1]Raphanus_specimens_all_2025!G:G, [1]Raphanus_specimens_all_2025!A:A, "")</f>
        <v>1367981</v>
      </c>
      <c r="B331">
        <v>1367981</v>
      </c>
      <c r="C331" t="s">
        <v>1140</v>
      </c>
      <c r="D331" t="s">
        <v>1244</v>
      </c>
      <c r="E331">
        <v>1976</v>
      </c>
      <c r="F331" t="s">
        <v>1246</v>
      </c>
      <c r="G331" t="s">
        <v>437</v>
      </c>
      <c r="H331" t="s">
        <v>78</v>
      </c>
      <c r="K331" t="s">
        <v>1081</v>
      </c>
      <c r="L331" s="11">
        <v>45971</v>
      </c>
    </row>
    <row r="332" spans="1:12" x14ac:dyDescent="0.2">
      <c r="A332">
        <f>_xlfn.XLOOKUP(D332, [1]Raphanus_specimens_all_2025!G:G, [1]Raphanus_specimens_all_2025!A:A, "")</f>
        <v>1320906</v>
      </c>
      <c r="B332">
        <v>1320906</v>
      </c>
      <c r="C332" t="s">
        <v>1140</v>
      </c>
      <c r="D332" t="s">
        <v>1257</v>
      </c>
      <c r="E332">
        <v>1992</v>
      </c>
      <c r="F332" t="s">
        <v>1023</v>
      </c>
      <c r="G332" t="s">
        <v>437</v>
      </c>
      <c r="H332" t="s">
        <v>85</v>
      </c>
      <c r="I332" t="s">
        <v>418</v>
      </c>
      <c r="K332" t="s">
        <v>1081</v>
      </c>
      <c r="L332" s="11">
        <v>45971</v>
      </c>
    </row>
    <row r="333" spans="1:12" x14ac:dyDescent="0.2">
      <c r="A333">
        <f>_xlfn.XLOOKUP(D333, [1]Raphanus_specimens_all_2025!G:G, [1]Raphanus_specimens_all_2025!A:A, "")</f>
        <v>1339126</v>
      </c>
      <c r="B333">
        <v>1339126</v>
      </c>
      <c r="C333" t="s">
        <v>1140</v>
      </c>
      <c r="D333" t="s">
        <v>1256</v>
      </c>
      <c r="E333">
        <v>1997</v>
      </c>
      <c r="F333" t="s">
        <v>671</v>
      </c>
      <c r="G333" t="s">
        <v>437</v>
      </c>
      <c r="H333" t="s">
        <v>1258</v>
      </c>
      <c r="K333" t="s">
        <v>1081</v>
      </c>
      <c r="L333" s="11">
        <v>45971</v>
      </c>
    </row>
    <row r="334" spans="1:12" x14ac:dyDescent="0.2">
      <c r="A334">
        <f>_xlfn.XLOOKUP(D334, [1]Raphanus_specimens_all_2025!G:G, [1]Raphanus_specimens_all_2025!A:A, "")</f>
        <v>1399261</v>
      </c>
      <c r="B334">
        <v>1399261</v>
      </c>
      <c r="C334" t="s">
        <v>1140</v>
      </c>
      <c r="D334" t="s">
        <v>1245</v>
      </c>
      <c r="E334">
        <v>2015</v>
      </c>
      <c r="F334" t="s">
        <v>671</v>
      </c>
      <c r="G334" t="s">
        <v>437</v>
      </c>
      <c r="H334" t="s">
        <v>558</v>
      </c>
      <c r="K334" t="s">
        <v>1081</v>
      </c>
      <c r="L334" s="11">
        <v>45971</v>
      </c>
    </row>
    <row r="335" spans="1:12" x14ac:dyDescent="0.2">
      <c r="A335">
        <f>_xlfn.XLOOKUP(D335, [1]Raphanus_specimens_all_2025!G:G, [1]Raphanus_specimens_all_2025!A:A, "")</f>
        <v>3776588</v>
      </c>
      <c r="B335">
        <v>3776588</v>
      </c>
      <c r="C335" t="s">
        <v>1140</v>
      </c>
      <c r="D335" t="s">
        <v>1253</v>
      </c>
      <c r="E335">
        <v>1997</v>
      </c>
      <c r="F335" t="s">
        <v>1015</v>
      </c>
      <c r="G335" t="s">
        <v>18</v>
      </c>
      <c r="H335" t="s">
        <v>1254</v>
      </c>
      <c r="K335" t="s">
        <v>1081</v>
      </c>
      <c r="L335" s="11">
        <v>45971</v>
      </c>
    </row>
    <row r="336" spans="1:12" x14ac:dyDescent="0.2">
      <c r="A336">
        <f>_xlfn.XLOOKUP(D336, [1]Raphanus_specimens_all_2025!G:G, [1]Raphanus_specimens_all_2025!A:A, "")</f>
        <v>1327836</v>
      </c>
      <c r="B336">
        <v>1327836</v>
      </c>
      <c r="C336" t="s">
        <v>1140</v>
      </c>
      <c r="D336" t="s">
        <v>1210</v>
      </c>
      <c r="E336">
        <v>2000</v>
      </c>
      <c r="L336" t="s">
        <v>1263</v>
      </c>
    </row>
    <row r="337" spans="1:12" x14ac:dyDescent="0.2">
      <c r="A337">
        <f>_xlfn.XLOOKUP(D337, [1]Raphanus_specimens_all_2025!G:G, [1]Raphanus_specimens_all_2025!A:A, "")</f>
        <v>1368009</v>
      </c>
      <c r="B337">
        <v>1368009</v>
      </c>
      <c r="C337" t="s">
        <v>1140</v>
      </c>
      <c r="D337" t="s">
        <v>1264</v>
      </c>
      <c r="E337">
        <v>2007</v>
      </c>
      <c r="L337" t="s">
        <v>1263</v>
      </c>
    </row>
    <row r="338" spans="1:12" x14ac:dyDescent="0.2">
      <c r="A338">
        <f>_xlfn.XLOOKUP(D338, [1]Raphanus_specimens_all_2025!G:G, [1]Raphanus_specimens_all_2025!A:A, "")</f>
        <v>1392578</v>
      </c>
      <c r="B338">
        <v>1392578</v>
      </c>
      <c r="C338" t="s">
        <v>1140</v>
      </c>
      <c r="D338" t="s">
        <v>1265</v>
      </c>
      <c r="E338">
        <v>2013</v>
      </c>
      <c r="L338" t="s">
        <v>1263</v>
      </c>
    </row>
    <row r="339" spans="1:12" x14ac:dyDescent="0.2">
      <c r="A339">
        <f>_xlfn.XLOOKUP(D339, [1]Raphanus_specimens_all_2025!G:G, [1]Raphanus_specimens_all_2025!A:A, "")</f>
        <v>2963303</v>
      </c>
      <c r="B339">
        <v>2963303</v>
      </c>
      <c r="C339" t="s">
        <v>1140</v>
      </c>
      <c r="D339" t="s">
        <v>1191</v>
      </c>
      <c r="E339">
        <v>2019</v>
      </c>
      <c r="L339" t="s">
        <v>1263</v>
      </c>
    </row>
    <row r="340" spans="1:12" x14ac:dyDescent="0.2">
      <c r="A340">
        <f>_xlfn.XLOOKUP(D340, [1]Raphanus_specimens_all_2025!G:G, [1]Raphanus_specimens_all_2025!A:A, "")</f>
        <v>1399932</v>
      </c>
      <c r="B340">
        <v>1399932</v>
      </c>
      <c r="C340" t="s">
        <v>1255</v>
      </c>
      <c r="D340" t="s">
        <v>1266</v>
      </c>
      <c r="E340">
        <v>1977</v>
      </c>
      <c r="F340" t="s">
        <v>671</v>
      </c>
      <c r="G340" t="s">
        <v>437</v>
      </c>
      <c r="H340" t="s">
        <v>670</v>
      </c>
      <c r="K340" t="s">
        <v>1081</v>
      </c>
      <c r="L340" s="11">
        <v>45971</v>
      </c>
    </row>
    <row r="341" spans="1:12" x14ac:dyDescent="0.2">
      <c r="A341">
        <f>_xlfn.XLOOKUP(D341, [1]Raphanus_specimens_all_2025!G:G, [1]Raphanus_specimens_all_2025!A:A, "")</f>
        <v>3792185</v>
      </c>
      <c r="B341">
        <v>3792185</v>
      </c>
      <c r="C341" t="s">
        <v>279</v>
      </c>
      <c r="D341" t="s">
        <v>331</v>
      </c>
      <c r="E341">
        <v>1967</v>
      </c>
      <c r="F341" t="s">
        <v>286</v>
      </c>
      <c r="G341" t="s">
        <v>110</v>
      </c>
      <c r="H341" t="s">
        <v>12</v>
      </c>
      <c r="I341" t="s">
        <v>232</v>
      </c>
    </row>
    <row r="342" spans="1:12" x14ac:dyDescent="0.2">
      <c r="A342">
        <f>_xlfn.XLOOKUP(D342, [1]Raphanus_specimens_all_2025!G:G, [1]Raphanus_specimens_all_2025!A:A, "")</f>
        <v>3792170</v>
      </c>
      <c r="B342">
        <v>3792170</v>
      </c>
      <c r="C342" t="s">
        <v>279</v>
      </c>
      <c r="D342" t="s">
        <v>307</v>
      </c>
      <c r="E342">
        <v>1974</v>
      </c>
      <c r="F342" t="s">
        <v>294</v>
      </c>
      <c r="G342" t="s">
        <v>110</v>
      </c>
      <c r="H342" t="s">
        <v>306</v>
      </c>
    </row>
    <row r="343" spans="1:12" x14ac:dyDescent="0.2">
      <c r="A343">
        <f>_xlfn.XLOOKUP(D343, [1]Raphanus_specimens_all_2025!G:G, [1]Raphanus_specimens_all_2025!A:A, "")</f>
        <v>3792195</v>
      </c>
      <c r="B343">
        <v>3792195</v>
      </c>
      <c r="C343" t="s">
        <v>279</v>
      </c>
      <c r="D343" t="s">
        <v>351</v>
      </c>
      <c r="E343">
        <v>1974</v>
      </c>
      <c r="F343" t="s">
        <v>350</v>
      </c>
      <c r="G343" t="s">
        <v>110</v>
      </c>
      <c r="H343" t="s">
        <v>353</v>
      </c>
      <c r="I343" t="s">
        <v>232</v>
      </c>
    </row>
    <row r="344" spans="1:12" x14ac:dyDescent="0.2">
      <c r="A344">
        <f>_xlfn.XLOOKUP(D344, [1]Raphanus_specimens_all_2025!G:G, [1]Raphanus_specimens_all_2025!A:A, "")</f>
        <v>3792196</v>
      </c>
      <c r="B344">
        <v>3792196</v>
      </c>
      <c r="C344" t="s">
        <v>279</v>
      </c>
      <c r="D344" t="s">
        <v>352</v>
      </c>
      <c r="E344">
        <v>1929</v>
      </c>
      <c r="F344" t="s">
        <v>354</v>
      </c>
      <c r="G344" t="s">
        <v>11</v>
      </c>
      <c r="H344" t="s">
        <v>209</v>
      </c>
      <c r="I344" t="s">
        <v>232</v>
      </c>
    </row>
    <row r="345" spans="1:12" x14ac:dyDescent="0.2">
      <c r="A345">
        <f>_xlfn.XLOOKUP(D345, [1]Raphanus_specimens_all_2025!G:G, [1]Raphanus_specimens_all_2025!A:A, "")</f>
        <v>3792179</v>
      </c>
      <c r="B345">
        <v>3792179</v>
      </c>
      <c r="C345" t="s">
        <v>279</v>
      </c>
      <c r="D345" t="s">
        <v>321</v>
      </c>
      <c r="E345">
        <v>1940</v>
      </c>
      <c r="F345" t="s">
        <v>323</v>
      </c>
      <c r="G345" t="s">
        <v>11</v>
      </c>
      <c r="H345" t="s">
        <v>322</v>
      </c>
    </row>
    <row r="346" spans="1:12" x14ac:dyDescent="0.2">
      <c r="A346">
        <f>_xlfn.XLOOKUP(D346, [1]Raphanus_specimens_all_2025!G:G, [1]Raphanus_specimens_all_2025!A:A, "")</f>
        <v>3792159</v>
      </c>
      <c r="B346">
        <v>3792159</v>
      </c>
      <c r="C346" t="s">
        <v>279</v>
      </c>
      <c r="D346" t="s">
        <v>284</v>
      </c>
      <c r="E346">
        <v>1953</v>
      </c>
      <c r="F346" t="s">
        <v>286</v>
      </c>
      <c r="G346" t="s">
        <v>11</v>
      </c>
      <c r="H346" t="s">
        <v>285</v>
      </c>
      <c r="I346" t="s">
        <v>232</v>
      </c>
    </row>
    <row r="347" spans="1:12" x14ac:dyDescent="0.2">
      <c r="A347">
        <f>_xlfn.XLOOKUP(D347, [1]Raphanus_specimens_all_2025!G:G, [1]Raphanus_specimens_all_2025!A:A, "")</f>
        <v>3792160</v>
      </c>
      <c r="B347">
        <v>3792160</v>
      </c>
      <c r="C347" t="s">
        <v>279</v>
      </c>
      <c r="D347" t="s">
        <v>287</v>
      </c>
      <c r="E347">
        <v>1953</v>
      </c>
      <c r="F347" t="s">
        <v>288</v>
      </c>
      <c r="G347" t="s">
        <v>11</v>
      </c>
      <c r="H347" t="s">
        <v>289</v>
      </c>
    </row>
    <row r="348" spans="1:12" x14ac:dyDescent="0.2">
      <c r="A348">
        <f>_xlfn.XLOOKUP(D348, [1]Raphanus_specimens_all_2025!G:G, [1]Raphanus_specimens_all_2025!A:A, "")</f>
        <v>3792168</v>
      </c>
      <c r="B348">
        <v>3792168</v>
      </c>
      <c r="C348" t="s">
        <v>279</v>
      </c>
      <c r="D348" t="s">
        <v>303</v>
      </c>
      <c r="E348">
        <v>1954</v>
      </c>
      <c r="F348" t="s">
        <v>304</v>
      </c>
      <c r="G348" t="s">
        <v>11</v>
      </c>
      <c r="H348" t="s">
        <v>78</v>
      </c>
    </row>
    <row r="349" spans="1:12" x14ac:dyDescent="0.2">
      <c r="A349">
        <f>_xlfn.XLOOKUP(D349, [1]Raphanus_specimens_all_2025!G:G, [1]Raphanus_specimens_all_2025!A:A, "")</f>
        <v>3792176</v>
      </c>
      <c r="B349">
        <v>3792176</v>
      </c>
      <c r="C349" t="s">
        <v>279</v>
      </c>
      <c r="D349" t="s">
        <v>316</v>
      </c>
      <c r="E349">
        <v>1954</v>
      </c>
      <c r="F349" t="s">
        <v>298</v>
      </c>
      <c r="G349" t="s">
        <v>11</v>
      </c>
      <c r="H349" t="s">
        <v>78</v>
      </c>
    </row>
    <row r="350" spans="1:12" x14ac:dyDescent="0.2">
      <c r="A350">
        <f>_xlfn.XLOOKUP(D350, [1]Raphanus_specimens_all_2025!G:G, [1]Raphanus_specimens_all_2025!A:A, "")</f>
        <v>3792180</v>
      </c>
      <c r="B350">
        <v>3792180</v>
      </c>
      <c r="C350" t="s">
        <v>279</v>
      </c>
      <c r="D350" t="s">
        <v>324</v>
      </c>
      <c r="E350">
        <v>1954</v>
      </c>
      <c r="F350" t="s">
        <v>211</v>
      </c>
      <c r="G350" t="s">
        <v>11</v>
      </c>
      <c r="H350" t="s">
        <v>289</v>
      </c>
    </row>
    <row r="351" spans="1:12" x14ac:dyDescent="0.2">
      <c r="A351">
        <f>_xlfn.XLOOKUP(D351, [1]Raphanus_specimens_all_2025!G:G, [1]Raphanus_specimens_all_2025!A:A, "")</f>
        <v>3792181</v>
      </c>
      <c r="B351">
        <v>3792181</v>
      </c>
      <c r="C351" t="s">
        <v>279</v>
      </c>
      <c r="D351" t="s">
        <v>325</v>
      </c>
      <c r="E351">
        <v>1957</v>
      </c>
      <c r="F351" t="s">
        <v>211</v>
      </c>
      <c r="G351" t="s">
        <v>11</v>
      </c>
      <c r="H351" t="s">
        <v>289</v>
      </c>
    </row>
    <row r="352" spans="1:12" x14ac:dyDescent="0.2">
      <c r="A352">
        <f>_xlfn.XLOOKUP(D352, [1]Raphanus_specimens_all_2025!G:G, [1]Raphanus_specimens_all_2025!A:A, "")</f>
        <v>3792167</v>
      </c>
      <c r="B352">
        <v>3792167</v>
      </c>
      <c r="C352" t="s">
        <v>279</v>
      </c>
      <c r="D352" t="s">
        <v>302</v>
      </c>
      <c r="E352">
        <v>1959</v>
      </c>
      <c r="F352" t="s">
        <v>298</v>
      </c>
      <c r="G352" t="s">
        <v>11</v>
      </c>
      <c r="H352" t="s">
        <v>78</v>
      </c>
      <c r="I352" t="s">
        <v>232</v>
      </c>
    </row>
    <row r="353" spans="1:9" x14ac:dyDescent="0.2">
      <c r="A353">
        <f>_xlfn.XLOOKUP(D353, [1]Raphanus_specimens_all_2025!G:G, [1]Raphanus_specimens_all_2025!A:A, "")</f>
        <v>3792178</v>
      </c>
      <c r="B353">
        <v>3792178</v>
      </c>
      <c r="C353" t="s">
        <v>279</v>
      </c>
      <c r="D353" t="s">
        <v>319</v>
      </c>
      <c r="E353">
        <v>1960</v>
      </c>
      <c r="F353" t="s">
        <v>310</v>
      </c>
      <c r="G353" t="s">
        <v>11</v>
      </c>
      <c r="H353" t="s">
        <v>289</v>
      </c>
      <c r="I353" t="s">
        <v>320</v>
      </c>
    </row>
    <row r="354" spans="1:9" x14ac:dyDescent="0.2">
      <c r="A354">
        <f>_xlfn.XLOOKUP(D354, [1]Raphanus_specimens_all_2025!G:G, [1]Raphanus_specimens_all_2025!A:A, "")</f>
        <v>3792191</v>
      </c>
      <c r="B354">
        <v>3792191</v>
      </c>
      <c r="C354" t="s">
        <v>279</v>
      </c>
      <c r="D354" t="s">
        <v>343</v>
      </c>
      <c r="E354">
        <v>1960</v>
      </c>
      <c r="F354" t="s">
        <v>340</v>
      </c>
      <c r="G354" t="s">
        <v>11</v>
      </c>
      <c r="H354" t="s">
        <v>344</v>
      </c>
      <c r="I354" t="s">
        <v>232</v>
      </c>
    </row>
    <row r="355" spans="1:9" x14ac:dyDescent="0.2">
      <c r="A355">
        <f>_xlfn.XLOOKUP(D355, [1]Raphanus_specimens_all_2025!G:G, [1]Raphanus_specimens_all_2025!A:A, "")</f>
        <v>3792165</v>
      </c>
      <c r="B355">
        <v>3792165</v>
      </c>
      <c r="C355" t="s">
        <v>279</v>
      </c>
      <c r="D355" t="s">
        <v>299</v>
      </c>
      <c r="E355">
        <v>1961</v>
      </c>
      <c r="F355" t="s">
        <v>294</v>
      </c>
      <c r="G355" t="s">
        <v>11</v>
      </c>
      <c r="H355" t="s">
        <v>300</v>
      </c>
    </row>
    <row r="356" spans="1:9" x14ac:dyDescent="0.2">
      <c r="A356">
        <f>_xlfn.XLOOKUP(D356, [1]Raphanus_specimens_all_2025!G:G, [1]Raphanus_specimens_all_2025!A:A, "")</f>
        <v>3792166</v>
      </c>
      <c r="B356">
        <v>3792166</v>
      </c>
      <c r="C356" t="s">
        <v>279</v>
      </c>
      <c r="D356" t="s">
        <v>301</v>
      </c>
      <c r="E356">
        <v>1965</v>
      </c>
      <c r="F356" t="s">
        <v>298</v>
      </c>
      <c r="G356" t="s">
        <v>11</v>
      </c>
      <c r="H356" t="s">
        <v>296</v>
      </c>
    </row>
    <row r="357" spans="1:9" x14ac:dyDescent="0.2">
      <c r="A357">
        <f>_xlfn.XLOOKUP(D357, [1]Raphanus_specimens_all_2025!G:G, [1]Raphanus_specimens_all_2025!A:A, "")</f>
        <v>3792173</v>
      </c>
      <c r="B357">
        <v>3792173</v>
      </c>
      <c r="C357" t="s">
        <v>279</v>
      </c>
      <c r="D357" t="s">
        <v>312</v>
      </c>
      <c r="E357">
        <v>1965</v>
      </c>
      <c r="F357" t="s">
        <v>294</v>
      </c>
      <c r="G357" t="s">
        <v>11</v>
      </c>
      <c r="H357" t="s">
        <v>306</v>
      </c>
    </row>
    <row r="358" spans="1:9" x14ac:dyDescent="0.2">
      <c r="A358">
        <f>_xlfn.XLOOKUP(D358, [1]Raphanus_specimens_all_2025!G:G, [1]Raphanus_specimens_all_2025!A:A, "")</f>
        <v>3792172</v>
      </c>
      <c r="B358">
        <v>3792172</v>
      </c>
      <c r="C358" t="s">
        <v>279</v>
      </c>
      <c r="D358" t="s">
        <v>309</v>
      </c>
      <c r="E358">
        <v>1967</v>
      </c>
      <c r="F358" t="s">
        <v>294</v>
      </c>
      <c r="G358" t="s">
        <v>11</v>
      </c>
      <c r="H358" t="s">
        <v>306</v>
      </c>
    </row>
    <row r="359" spans="1:9" x14ac:dyDescent="0.2">
      <c r="A359">
        <f>_xlfn.XLOOKUP(D359, [1]Raphanus_specimens_all_2025!G:G, [1]Raphanus_specimens_all_2025!A:A, "")</f>
        <v>3792182</v>
      </c>
      <c r="B359">
        <v>3792182</v>
      </c>
      <c r="C359" t="s">
        <v>279</v>
      </c>
      <c r="D359" t="s">
        <v>326</v>
      </c>
      <c r="E359">
        <v>1967</v>
      </c>
      <c r="F359" t="s">
        <v>211</v>
      </c>
      <c r="G359" t="s">
        <v>11</v>
      </c>
      <c r="H359" t="s">
        <v>327</v>
      </c>
    </row>
    <row r="360" spans="1:9" x14ac:dyDescent="0.2">
      <c r="A360">
        <f>_xlfn.XLOOKUP(D360, [1]Raphanus_specimens_all_2025!G:G, [1]Raphanus_specimens_all_2025!A:A, "")</f>
        <v>3792162</v>
      </c>
      <c r="B360">
        <v>3792162</v>
      </c>
      <c r="C360" t="s">
        <v>279</v>
      </c>
      <c r="D360" t="s">
        <v>293</v>
      </c>
      <c r="E360">
        <v>1968</v>
      </c>
      <c r="F360" t="s">
        <v>294</v>
      </c>
      <c r="G360" t="s">
        <v>11</v>
      </c>
      <c r="H360" t="s">
        <v>209</v>
      </c>
    </row>
    <row r="361" spans="1:9" x14ac:dyDescent="0.2">
      <c r="A361">
        <f>_xlfn.XLOOKUP(D361, [1]Raphanus_specimens_all_2025!G:G, [1]Raphanus_specimens_all_2025!A:A, "")</f>
        <v>3792183</v>
      </c>
      <c r="B361">
        <v>3792183</v>
      </c>
      <c r="C361" t="s">
        <v>279</v>
      </c>
      <c r="D361" t="s">
        <v>328</v>
      </c>
      <c r="E361">
        <v>1974</v>
      </c>
      <c r="F361" t="s">
        <v>310</v>
      </c>
      <c r="G361" t="s">
        <v>11</v>
      </c>
      <c r="H361" t="s">
        <v>329</v>
      </c>
    </row>
    <row r="362" spans="1:9" x14ac:dyDescent="0.2">
      <c r="A362">
        <f>_xlfn.XLOOKUP(D362, [1]Raphanus_specimens_all_2025!G:G, [1]Raphanus_specimens_all_2025!A:A, "")</f>
        <v>3792198</v>
      </c>
      <c r="B362">
        <v>3792198</v>
      </c>
      <c r="C362" t="s">
        <v>279</v>
      </c>
      <c r="D362" t="s">
        <v>357</v>
      </c>
      <c r="E362">
        <v>1974</v>
      </c>
      <c r="F362" t="s">
        <v>211</v>
      </c>
      <c r="G362" t="s">
        <v>11</v>
      </c>
      <c r="H362" t="s">
        <v>358</v>
      </c>
    </row>
    <row r="363" spans="1:9" x14ac:dyDescent="0.2">
      <c r="A363">
        <f>_xlfn.XLOOKUP(D363, [1]Raphanus_specimens_all_2025!G:G, [1]Raphanus_specimens_all_2025!A:A, "")</f>
        <v>3792186</v>
      </c>
      <c r="B363">
        <v>3792186</v>
      </c>
      <c r="C363" t="s">
        <v>279</v>
      </c>
      <c r="D363" t="s">
        <v>332</v>
      </c>
      <c r="E363">
        <v>1977</v>
      </c>
      <c r="F363" t="s">
        <v>286</v>
      </c>
      <c r="G363" t="s">
        <v>11</v>
      </c>
      <c r="H363" t="s">
        <v>333</v>
      </c>
      <c r="I363" t="s">
        <v>232</v>
      </c>
    </row>
    <row r="364" spans="1:9" x14ac:dyDescent="0.2">
      <c r="A364">
        <f>_xlfn.XLOOKUP(D364, [1]Raphanus_specimens_all_2025!G:G, [1]Raphanus_specimens_all_2025!A:A, "")</f>
        <v>3792156</v>
      </c>
      <c r="B364">
        <v>3792156</v>
      </c>
      <c r="C364" t="s">
        <v>279</v>
      </c>
      <c r="D364" t="s">
        <v>280</v>
      </c>
      <c r="E364">
        <v>1978</v>
      </c>
      <c r="F364" t="s">
        <v>281</v>
      </c>
      <c r="G364" t="s">
        <v>11</v>
      </c>
      <c r="H364" t="s">
        <v>78</v>
      </c>
    </row>
    <row r="365" spans="1:9" x14ac:dyDescent="0.2">
      <c r="A365">
        <f>_xlfn.XLOOKUP(D365, [1]Raphanus_specimens_all_2025!G:G, [1]Raphanus_specimens_all_2025!A:A, "")</f>
        <v>3792192</v>
      </c>
      <c r="B365">
        <v>3792192</v>
      </c>
      <c r="C365" t="s">
        <v>279</v>
      </c>
      <c r="D365" t="s">
        <v>345</v>
      </c>
      <c r="E365">
        <v>1981</v>
      </c>
      <c r="F365" t="s">
        <v>346</v>
      </c>
      <c r="G365" t="s">
        <v>11</v>
      </c>
      <c r="H365" t="s">
        <v>94</v>
      </c>
      <c r="I365" t="s">
        <v>232</v>
      </c>
    </row>
    <row r="366" spans="1:9" x14ac:dyDescent="0.2">
      <c r="A366">
        <f>_xlfn.XLOOKUP(D366, [1]Raphanus_specimens_all_2025!G:G, [1]Raphanus_specimens_all_2025!A:A, "")</f>
        <v>3792193</v>
      </c>
      <c r="B366">
        <v>3792193</v>
      </c>
      <c r="C366" t="s">
        <v>279</v>
      </c>
      <c r="D366" t="s">
        <v>347</v>
      </c>
      <c r="E366">
        <v>1981</v>
      </c>
      <c r="F366" t="s">
        <v>298</v>
      </c>
      <c r="G366" t="s">
        <v>11</v>
      </c>
      <c r="H366" t="s">
        <v>348</v>
      </c>
      <c r="I366" t="s">
        <v>232</v>
      </c>
    </row>
    <row r="367" spans="1:9" x14ac:dyDescent="0.2">
      <c r="A367">
        <f>_xlfn.XLOOKUP(D367, [1]Raphanus_specimens_all_2025!G:G, [1]Raphanus_specimens_all_2025!A:A, "")</f>
        <v>3792177</v>
      </c>
      <c r="B367">
        <v>3792177</v>
      </c>
      <c r="C367" t="s">
        <v>279</v>
      </c>
      <c r="D367" t="s">
        <v>318</v>
      </c>
      <c r="E367" t="s">
        <v>317</v>
      </c>
      <c r="F367" t="s">
        <v>298</v>
      </c>
      <c r="G367" t="s">
        <v>11</v>
      </c>
      <c r="H367" t="s">
        <v>296</v>
      </c>
    </row>
    <row r="368" spans="1:9" x14ac:dyDescent="0.2">
      <c r="A368">
        <f>_xlfn.XLOOKUP(D368, [1]Raphanus_specimens_all_2025!G:G, [1]Raphanus_specimens_all_2025!A:A, "")</f>
        <v>3792158</v>
      </c>
      <c r="B368">
        <v>3792158</v>
      </c>
      <c r="C368" t="s">
        <v>279</v>
      </c>
      <c r="D368" t="s">
        <v>282</v>
      </c>
      <c r="E368">
        <v>1929</v>
      </c>
      <c r="F368" t="s">
        <v>283</v>
      </c>
      <c r="G368" t="s">
        <v>18</v>
      </c>
      <c r="H368" t="s">
        <v>78</v>
      </c>
      <c r="I368" t="s">
        <v>232</v>
      </c>
    </row>
    <row r="369" spans="1:9" x14ac:dyDescent="0.2">
      <c r="A369">
        <f>_xlfn.XLOOKUP(D369, [1]Raphanus_specimens_all_2025!G:G, [1]Raphanus_specimens_all_2025!A:A, "")</f>
        <v>3792163</v>
      </c>
      <c r="B369">
        <v>3792163</v>
      </c>
      <c r="C369" t="s">
        <v>279</v>
      </c>
      <c r="D369" t="s">
        <v>295</v>
      </c>
      <c r="E369">
        <v>1966</v>
      </c>
      <c r="F369" t="s">
        <v>294</v>
      </c>
      <c r="G369" t="s">
        <v>18</v>
      </c>
      <c r="H369" t="s">
        <v>296</v>
      </c>
    </row>
    <row r="370" spans="1:9" x14ac:dyDescent="0.2">
      <c r="A370">
        <f>_xlfn.XLOOKUP(D370, [1]Raphanus_specimens_all_2025!G:G, [1]Raphanus_specimens_all_2025!A:A, "")</f>
        <v>3792164</v>
      </c>
      <c r="B370">
        <v>3792164</v>
      </c>
      <c r="C370" t="s">
        <v>279</v>
      </c>
      <c r="D370" t="s">
        <v>297</v>
      </c>
      <c r="E370">
        <v>1968</v>
      </c>
      <c r="F370" t="s">
        <v>298</v>
      </c>
      <c r="G370" t="s">
        <v>18</v>
      </c>
    </row>
    <row r="371" spans="1:9" x14ac:dyDescent="0.2">
      <c r="A371">
        <f>_xlfn.XLOOKUP(D371, [1]Raphanus_specimens_all_2025!G:G, [1]Raphanus_specimens_all_2025!A:A, "")</f>
        <v>3792188</v>
      </c>
      <c r="B371">
        <v>3792188</v>
      </c>
      <c r="C371" t="s">
        <v>279</v>
      </c>
      <c r="D371" t="s">
        <v>335</v>
      </c>
      <c r="E371">
        <v>1968</v>
      </c>
      <c r="F371" t="s">
        <v>336</v>
      </c>
      <c r="G371" t="s">
        <v>18</v>
      </c>
      <c r="H371" t="s">
        <v>338</v>
      </c>
      <c r="I371" t="s">
        <v>337</v>
      </c>
    </row>
    <row r="372" spans="1:9" x14ac:dyDescent="0.2">
      <c r="A372">
        <f>_xlfn.XLOOKUP(D372, [1]Raphanus_specimens_all_2025!G:G, [1]Raphanus_specimens_all_2025!A:A, "")</f>
        <v>3792189</v>
      </c>
      <c r="B372">
        <v>3792189</v>
      </c>
      <c r="C372" t="s">
        <v>279</v>
      </c>
      <c r="D372" t="s">
        <v>339</v>
      </c>
      <c r="E372">
        <v>1970</v>
      </c>
      <c r="F372" t="s">
        <v>340</v>
      </c>
      <c r="G372" t="s">
        <v>18</v>
      </c>
      <c r="H372" t="s">
        <v>12</v>
      </c>
      <c r="I372" t="s">
        <v>232</v>
      </c>
    </row>
    <row r="373" spans="1:9" x14ac:dyDescent="0.2">
      <c r="A373">
        <f>_xlfn.XLOOKUP(D373, [1]Raphanus_specimens_all_2025!G:G, [1]Raphanus_specimens_all_2025!A:A, "")</f>
        <v>3792190</v>
      </c>
      <c r="B373">
        <v>3792190</v>
      </c>
      <c r="C373" t="s">
        <v>279</v>
      </c>
      <c r="D373" t="s">
        <v>341</v>
      </c>
      <c r="E373">
        <v>1980</v>
      </c>
      <c r="F373" t="s">
        <v>342</v>
      </c>
      <c r="G373" t="s">
        <v>18</v>
      </c>
      <c r="H373" t="s">
        <v>333</v>
      </c>
      <c r="I373" t="s">
        <v>232</v>
      </c>
    </row>
    <row r="374" spans="1:9" x14ac:dyDescent="0.2">
      <c r="A374">
        <f>_xlfn.XLOOKUP(D374, [1]Raphanus_specimens_all_2025!G:G, [1]Raphanus_specimens_all_2025!A:A, "")</f>
        <v>3792161</v>
      </c>
      <c r="B374">
        <v>3792161</v>
      </c>
      <c r="C374" t="s">
        <v>279</v>
      </c>
      <c r="D374" t="s">
        <v>290</v>
      </c>
      <c r="E374">
        <v>1964</v>
      </c>
      <c r="F374" t="s">
        <v>291</v>
      </c>
      <c r="G374" t="s">
        <v>225</v>
      </c>
      <c r="H374" t="s">
        <v>292</v>
      </c>
    </row>
    <row r="375" spans="1:9" x14ac:dyDescent="0.2">
      <c r="A375">
        <f>_xlfn.XLOOKUP(D375, [1]Raphanus_specimens_all_2025!G:G, [1]Raphanus_specimens_all_2025!A:A, "")</f>
        <v>3792169</v>
      </c>
      <c r="B375">
        <v>3792169</v>
      </c>
      <c r="C375" t="s">
        <v>279</v>
      </c>
      <c r="D375" t="s">
        <v>305</v>
      </c>
      <c r="E375">
        <v>1964</v>
      </c>
      <c r="F375" t="s">
        <v>298</v>
      </c>
      <c r="G375" t="s">
        <v>225</v>
      </c>
      <c r="H375" t="s">
        <v>306</v>
      </c>
      <c r="I375" t="s">
        <v>232</v>
      </c>
    </row>
    <row r="376" spans="1:9" x14ac:dyDescent="0.2">
      <c r="A376">
        <f>_xlfn.XLOOKUP(D376, [1]Raphanus_specimens_all_2025!G:G, [1]Raphanus_specimens_all_2025!A:A, "")</f>
        <v>3792174</v>
      </c>
      <c r="B376">
        <v>3792174</v>
      </c>
      <c r="C376" t="s">
        <v>279</v>
      </c>
      <c r="D376" t="s">
        <v>313</v>
      </c>
      <c r="E376">
        <v>1964</v>
      </c>
      <c r="F376" t="s">
        <v>298</v>
      </c>
      <c r="G376" t="s">
        <v>225</v>
      </c>
      <c r="H376" t="s">
        <v>25</v>
      </c>
      <c r="I376" t="s">
        <v>314</v>
      </c>
    </row>
    <row r="377" spans="1:9" x14ac:dyDescent="0.2">
      <c r="A377">
        <f>_xlfn.XLOOKUP(D377, [1]Raphanus_specimens_all_2025!G:G, [1]Raphanus_specimens_all_2025!A:A, "")</f>
        <v>3792175</v>
      </c>
      <c r="B377">
        <v>3792175</v>
      </c>
      <c r="C377" t="s">
        <v>279</v>
      </c>
      <c r="D377" t="s">
        <v>315</v>
      </c>
      <c r="E377">
        <v>1965</v>
      </c>
      <c r="F377" t="s">
        <v>298</v>
      </c>
      <c r="G377" t="s">
        <v>225</v>
      </c>
      <c r="H377" t="s">
        <v>296</v>
      </c>
    </row>
    <row r="378" spans="1:9" x14ac:dyDescent="0.2">
      <c r="A378">
        <f>_xlfn.XLOOKUP(D378, [1]Raphanus_specimens_all_2025!G:G, [1]Raphanus_specimens_all_2025!A:A, "")</f>
        <v>3792187</v>
      </c>
      <c r="B378">
        <v>3792187</v>
      </c>
      <c r="C378" t="s">
        <v>279</v>
      </c>
      <c r="D378" t="s">
        <v>334</v>
      </c>
      <c r="E378">
        <v>1973</v>
      </c>
      <c r="F378" t="s">
        <v>310</v>
      </c>
      <c r="G378" t="s">
        <v>225</v>
      </c>
      <c r="H378" t="s">
        <v>333</v>
      </c>
    </row>
    <row r="379" spans="1:9" x14ac:dyDescent="0.2">
      <c r="A379">
        <f>_xlfn.XLOOKUP(D379, [1]Raphanus_specimens_all_2025!G:G, [1]Raphanus_specimens_all_2025!A:A, "")</f>
        <v>3792194</v>
      </c>
      <c r="B379">
        <v>3792194</v>
      </c>
      <c r="C379" t="s">
        <v>279</v>
      </c>
      <c r="D379" t="s">
        <v>349</v>
      </c>
      <c r="E379">
        <v>1984</v>
      </c>
      <c r="F379" t="s">
        <v>286</v>
      </c>
      <c r="G379" t="s">
        <v>225</v>
      </c>
      <c r="H379" t="s">
        <v>333</v>
      </c>
      <c r="I379" t="s">
        <v>232</v>
      </c>
    </row>
    <row r="380" spans="1:9" x14ac:dyDescent="0.2">
      <c r="A380" t="s">
        <v>845</v>
      </c>
      <c r="B380" t="s">
        <v>845</v>
      </c>
      <c r="C380" t="s">
        <v>279</v>
      </c>
      <c r="D380" t="s">
        <v>355</v>
      </c>
      <c r="E380" t="s">
        <v>356</v>
      </c>
      <c r="F380" t="s">
        <v>310</v>
      </c>
      <c r="G380" t="s">
        <v>225</v>
      </c>
      <c r="H380" t="s">
        <v>209</v>
      </c>
      <c r="I380" t="s">
        <v>232</v>
      </c>
    </row>
    <row r="381" spans="1:9" x14ac:dyDescent="0.2">
      <c r="A381">
        <f>_xlfn.XLOOKUP(D381, [1]Raphanus_specimens_all_2025!G:G, [1]Raphanus_specimens_all_2025!A:A, "")</f>
        <v>3792171</v>
      </c>
      <c r="B381">
        <v>3792171</v>
      </c>
      <c r="C381" t="s">
        <v>279</v>
      </c>
      <c r="D381" t="s">
        <v>308</v>
      </c>
      <c r="E381">
        <v>1934</v>
      </c>
      <c r="F381" t="s">
        <v>310</v>
      </c>
      <c r="G381" t="s">
        <v>34</v>
      </c>
      <c r="H381" t="s">
        <v>311</v>
      </c>
    </row>
    <row r="382" spans="1:9" x14ac:dyDescent="0.2">
      <c r="A382">
        <f>_xlfn.XLOOKUP(D382, [1]Raphanus_specimens_all_2025!G:G, [1]Raphanus_specimens_all_2025!A:A, "")</f>
        <v>3792184</v>
      </c>
      <c r="B382">
        <v>3792184</v>
      </c>
      <c r="C382" t="s">
        <v>279</v>
      </c>
      <c r="D382" t="s">
        <v>330</v>
      </c>
      <c r="E382">
        <v>1967</v>
      </c>
      <c r="F382" t="s">
        <v>310</v>
      </c>
      <c r="G382" t="s">
        <v>34</v>
      </c>
      <c r="H382" t="s">
        <v>209</v>
      </c>
    </row>
    <row r="383" spans="1:9" x14ac:dyDescent="0.2">
      <c r="A383">
        <f>_xlfn.XLOOKUP(D383, [1]Raphanus_specimens_all_2025!G:G, [1]Raphanus_specimens_all_2025!A:A, "")</f>
        <v>202465</v>
      </c>
      <c r="B383">
        <v>202465</v>
      </c>
      <c r="C383" t="s">
        <v>6</v>
      </c>
      <c r="D383" t="s">
        <v>23</v>
      </c>
      <c r="E383">
        <v>1908</v>
      </c>
      <c r="F383" t="s">
        <v>9</v>
      </c>
      <c r="G383" t="s">
        <v>11</v>
      </c>
      <c r="H383" t="s">
        <v>24</v>
      </c>
    </row>
    <row r="384" spans="1:9" x14ac:dyDescent="0.2">
      <c r="A384">
        <f>_xlfn.XLOOKUP(D384, [1]Raphanus_specimens_all_2025!G:G, [1]Raphanus_specimens_all_2025!A:A, "")</f>
        <v>202486</v>
      </c>
      <c r="B384">
        <v>202486</v>
      </c>
      <c r="C384" t="s">
        <v>6</v>
      </c>
      <c r="D384" t="s">
        <v>49</v>
      </c>
      <c r="E384">
        <v>1959</v>
      </c>
      <c r="F384" t="s">
        <v>9</v>
      </c>
      <c r="G384" t="s">
        <v>11</v>
      </c>
      <c r="H384" t="s">
        <v>48</v>
      </c>
    </row>
    <row r="385" spans="1:9" x14ac:dyDescent="0.2">
      <c r="A385">
        <f>_xlfn.XLOOKUP(D385, [1]Raphanus_specimens_all_2025!G:G, [1]Raphanus_specimens_all_2025!A:A, "")</f>
        <v>202487</v>
      </c>
      <c r="B385">
        <v>202487</v>
      </c>
      <c r="C385" t="s">
        <v>6</v>
      </c>
      <c r="D385" t="s">
        <v>51</v>
      </c>
      <c r="E385">
        <v>1964</v>
      </c>
      <c r="F385" t="s">
        <v>9</v>
      </c>
      <c r="G385" t="s">
        <v>11</v>
      </c>
      <c r="H385" t="s">
        <v>48</v>
      </c>
    </row>
    <row r="386" spans="1:9" x14ac:dyDescent="0.2">
      <c r="A386">
        <f>_xlfn.XLOOKUP(D386, [1]Raphanus_specimens_all_2025!G:G, [1]Raphanus_specimens_all_2025!A:A, "")</f>
        <v>202451</v>
      </c>
      <c r="B386">
        <v>202451</v>
      </c>
      <c r="C386" t="s">
        <v>6</v>
      </c>
      <c r="D386" s="2" t="s">
        <v>8</v>
      </c>
      <c r="E386">
        <v>1968</v>
      </c>
      <c r="F386" t="s">
        <v>9</v>
      </c>
      <c r="G386" t="s">
        <v>11</v>
      </c>
      <c r="H386" t="s">
        <v>12</v>
      </c>
    </row>
    <row r="387" spans="1:9" x14ac:dyDescent="0.2">
      <c r="A387">
        <f>_xlfn.XLOOKUP(D387, [1]Raphanus_specimens_all_2025!G:G, [1]Raphanus_specimens_all_2025!A:A, "")</f>
        <v>202488</v>
      </c>
      <c r="B387">
        <v>202488</v>
      </c>
      <c r="C387" t="s">
        <v>6</v>
      </c>
      <c r="D387" t="s">
        <v>52</v>
      </c>
      <c r="E387">
        <v>1968</v>
      </c>
      <c r="F387" t="s">
        <v>9</v>
      </c>
      <c r="G387" t="s">
        <v>11</v>
      </c>
      <c r="H387" t="s">
        <v>48</v>
      </c>
    </row>
    <row r="388" spans="1:9" x14ac:dyDescent="0.2">
      <c r="A388">
        <f>_xlfn.XLOOKUP(D388, [1]Raphanus_specimens_all_2025!G:G, [1]Raphanus_specimens_all_2025!A:A, "")</f>
        <v>202468</v>
      </c>
      <c r="B388">
        <v>202468</v>
      </c>
      <c r="C388" t="s">
        <v>6</v>
      </c>
      <c r="D388" t="s">
        <v>36</v>
      </c>
      <c r="E388">
        <v>1969</v>
      </c>
      <c r="F388" t="s">
        <v>9</v>
      </c>
      <c r="G388" t="s">
        <v>11</v>
      </c>
      <c r="H388" t="s">
        <v>40</v>
      </c>
    </row>
    <row r="389" spans="1:9" x14ac:dyDescent="0.2">
      <c r="A389">
        <f>_xlfn.XLOOKUP(D389, [1]Raphanus_specimens_all_2025!G:G, [1]Raphanus_specimens_all_2025!A:A, "")</f>
        <v>202476</v>
      </c>
      <c r="B389">
        <v>202476</v>
      </c>
      <c r="C389" t="s">
        <v>6</v>
      </c>
      <c r="D389" s="2" t="s">
        <v>35</v>
      </c>
      <c r="E389">
        <v>1970</v>
      </c>
      <c r="F389" t="s">
        <v>9</v>
      </c>
      <c r="G389" t="s">
        <v>11</v>
      </c>
      <c r="H389" t="s">
        <v>38</v>
      </c>
    </row>
    <row r="390" spans="1:9" x14ac:dyDescent="0.2">
      <c r="A390">
        <f>_xlfn.XLOOKUP(D390, [1]Raphanus_specimens_all_2025!G:G, [1]Raphanus_specimens_all_2025!A:A, "")</f>
        <v>202473</v>
      </c>
      <c r="B390">
        <v>202473</v>
      </c>
      <c r="C390" t="s">
        <v>6</v>
      </c>
      <c r="D390" t="s">
        <v>27</v>
      </c>
      <c r="E390">
        <v>1980</v>
      </c>
      <c r="F390" t="s">
        <v>9</v>
      </c>
      <c r="G390" t="s">
        <v>11</v>
      </c>
      <c r="H390" t="s">
        <v>25</v>
      </c>
    </row>
    <row r="391" spans="1:9" x14ac:dyDescent="0.2">
      <c r="A391">
        <f>_xlfn.XLOOKUP(D391, [1]Raphanus_specimens_all_2025!G:G, [1]Raphanus_specimens_all_2025!A:A, "")</f>
        <v>202449</v>
      </c>
      <c r="B391">
        <v>202449</v>
      </c>
      <c r="C391" t="s">
        <v>6</v>
      </c>
      <c r="D391" t="s">
        <v>10</v>
      </c>
      <c r="E391">
        <v>2001</v>
      </c>
      <c r="F391" t="s">
        <v>9</v>
      </c>
      <c r="G391" t="s">
        <v>11</v>
      </c>
      <c r="H391" t="s">
        <v>12</v>
      </c>
      <c r="I391" t="s">
        <v>13</v>
      </c>
    </row>
    <row r="392" spans="1:9" x14ac:dyDescent="0.2">
      <c r="A392">
        <f>_xlfn.XLOOKUP(D392, [1]Raphanus_specimens_all_2025!G:G, [1]Raphanus_specimens_all_2025!A:A, "")</f>
        <v>202480</v>
      </c>
      <c r="B392">
        <v>202480</v>
      </c>
      <c r="C392" t="s">
        <v>6</v>
      </c>
      <c r="D392" t="s">
        <v>37</v>
      </c>
      <c r="E392">
        <v>2004</v>
      </c>
      <c r="F392" t="s">
        <v>9</v>
      </c>
      <c r="G392" t="s">
        <v>11</v>
      </c>
      <c r="H392" t="s">
        <v>39</v>
      </c>
    </row>
    <row r="393" spans="1:9" x14ac:dyDescent="0.2">
      <c r="A393">
        <f>_xlfn.XLOOKUP(D393, [1]Raphanus_specimens_all_2025!G:G, [1]Raphanus_specimens_all_2025!A:A, "")</f>
        <v>215180</v>
      </c>
      <c r="B393">
        <v>215180</v>
      </c>
      <c r="C393" t="s">
        <v>6</v>
      </c>
      <c r="D393" t="s">
        <v>61</v>
      </c>
      <c r="E393">
        <v>2017</v>
      </c>
      <c r="F393" t="s">
        <v>62</v>
      </c>
      <c r="G393" t="s">
        <v>11</v>
      </c>
    </row>
    <row r="394" spans="1:9" x14ac:dyDescent="0.2">
      <c r="A394">
        <f>_xlfn.XLOOKUP(D394, [1]Raphanus_specimens_all_2025!G:G, [1]Raphanus_specimens_all_2025!A:A, "")</f>
        <v>202503</v>
      </c>
      <c r="B394">
        <v>202503</v>
      </c>
      <c r="C394" t="s">
        <v>6</v>
      </c>
      <c r="D394" t="s">
        <v>14</v>
      </c>
      <c r="E394">
        <v>1977</v>
      </c>
      <c r="F394" t="s">
        <v>9</v>
      </c>
      <c r="G394" t="s">
        <v>17</v>
      </c>
      <c r="H394" t="s">
        <v>15</v>
      </c>
    </row>
    <row r="395" spans="1:9" x14ac:dyDescent="0.2">
      <c r="A395">
        <f>_xlfn.XLOOKUP(D395, [1]Raphanus_specimens_all_2025!G:G, [1]Raphanus_specimens_all_2025!A:A, "")</f>
        <v>202455</v>
      </c>
      <c r="B395">
        <v>202455</v>
      </c>
      <c r="C395" t="s">
        <v>6</v>
      </c>
      <c r="D395" t="s">
        <v>47</v>
      </c>
      <c r="E395">
        <v>1957</v>
      </c>
      <c r="F395" t="s">
        <v>9</v>
      </c>
      <c r="G395" t="s">
        <v>18</v>
      </c>
      <c r="H395" t="s">
        <v>48</v>
      </c>
    </row>
    <row r="396" spans="1:9" x14ac:dyDescent="0.2">
      <c r="A396">
        <f>_xlfn.XLOOKUP(D396, [1]Raphanus_specimens_all_2025!G:G, [1]Raphanus_specimens_all_2025!A:A, "")</f>
        <v>202453</v>
      </c>
      <c r="B396">
        <v>202453</v>
      </c>
      <c r="C396" t="s">
        <v>6</v>
      </c>
      <c r="D396" t="s">
        <v>56</v>
      </c>
      <c r="E396">
        <v>1966</v>
      </c>
      <c r="F396" t="s">
        <v>9</v>
      </c>
      <c r="G396" t="s">
        <v>18</v>
      </c>
      <c r="H396" t="s">
        <v>57</v>
      </c>
    </row>
    <row r="397" spans="1:9" x14ac:dyDescent="0.2">
      <c r="A397">
        <f>_xlfn.XLOOKUP(D397, [1]Raphanus_specimens_all_2025!G:G, [1]Raphanus_specimens_all_2025!A:A, "")</f>
        <v>202452</v>
      </c>
      <c r="B397">
        <v>202452</v>
      </c>
      <c r="C397" t="s">
        <v>6</v>
      </c>
      <c r="D397" s="2" t="s">
        <v>19</v>
      </c>
      <c r="E397">
        <v>1968</v>
      </c>
      <c r="F397" t="s">
        <v>9</v>
      </c>
      <c r="G397" t="s">
        <v>18</v>
      </c>
      <c r="H397" t="s">
        <v>20</v>
      </c>
    </row>
    <row r="398" spans="1:9" x14ac:dyDescent="0.2">
      <c r="A398">
        <f>_xlfn.XLOOKUP(D398, [1]Raphanus_specimens_all_2025!G:G, [1]Raphanus_specimens_all_2025!A:A, "")</f>
        <v>202491</v>
      </c>
      <c r="B398">
        <v>202491</v>
      </c>
      <c r="C398" t="s">
        <v>6</v>
      </c>
      <c r="D398" t="s">
        <v>22</v>
      </c>
      <c r="E398">
        <v>1969</v>
      </c>
      <c r="F398" t="s">
        <v>9</v>
      </c>
      <c r="G398" t="s">
        <v>18</v>
      </c>
      <c r="H398" t="s">
        <v>25</v>
      </c>
    </row>
    <row r="399" spans="1:9" x14ac:dyDescent="0.2">
      <c r="A399">
        <f>_xlfn.XLOOKUP(D399, [1]Raphanus_specimens_all_2025!G:G, [1]Raphanus_specimens_all_2025!A:A, "")</f>
        <v>202478</v>
      </c>
      <c r="B399">
        <v>202478</v>
      </c>
      <c r="C399" t="s">
        <v>6</v>
      </c>
      <c r="D399" t="s">
        <v>50</v>
      </c>
      <c r="E399">
        <v>1971</v>
      </c>
      <c r="F399" t="s">
        <v>9</v>
      </c>
      <c r="G399" t="s">
        <v>18</v>
      </c>
      <c r="H399" t="s">
        <v>48</v>
      </c>
    </row>
    <row r="400" spans="1:9" x14ac:dyDescent="0.2">
      <c r="A400">
        <f>_xlfn.XLOOKUP(D400, [1]Raphanus_specimens_all_2025!G:G, [1]Raphanus_specimens_all_2025!A:A, "")</f>
        <v>202454</v>
      </c>
      <c r="B400">
        <v>202454</v>
      </c>
      <c r="C400" t="s">
        <v>6</v>
      </c>
      <c r="D400" t="s">
        <v>32</v>
      </c>
      <c r="E400">
        <v>1972</v>
      </c>
      <c r="F400" t="s">
        <v>9</v>
      </c>
      <c r="G400" t="s">
        <v>18</v>
      </c>
      <c r="H400" t="s">
        <v>25</v>
      </c>
    </row>
    <row r="401" spans="1:8" x14ac:dyDescent="0.2">
      <c r="A401">
        <f>_xlfn.XLOOKUP(D401, [1]Raphanus_specimens_all_2025!G:G, [1]Raphanus_specimens_all_2025!A:A, "")</f>
        <v>202474</v>
      </c>
      <c r="B401">
        <v>202474</v>
      </c>
      <c r="C401" t="s">
        <v>6</v>
      </c>
      <c r="D401" t="s">
        <v>21</v>
      </c>
      <c r="E401">
        <v>1979</v>
      </c>
      <c r="F401" t="s">
        <v>9</v>
      </c>
      <c r="G401" t="s">
        <v>18</v>
      </c>
      <c r="H401" t="s">
        <v>26</v>
      </c>
    </row>
    <row r="402" spans="1:8" x14ac:dyDescent="0.2">
      <c r="A402">
        <v>6008207</v>
      </c>
      <c r="B402">
        <v>6008207</v>
      </c>
      <c r="C402" t="s">
        <v>6</v>
      </c>
      <c r="D402" s="2" t="s">
        <v>46</v>
      </c>
      <c r="E402">
        <v>1979</v>
      </c>
      <c r="F402" t="s">
        <v>9</v>
      </c>
      <c r="G402" t="s">
        <v>18</v>
      </c>
    </row>
    <row r="403" spans="1:8" x14ac:dyDescent="0.2">
      <c r="A403">
        <f>_xlfn.XLOOKUP(D403, [1]Raphanus_specimens_all_2025!G:G, [1]Raphanus_specimens_all_2025!A:A, "")</f>
        <v>202457</v>
      </c>
      <c r="B403">
        <v>202457</v>
      </c>
      <c r="C403" t="s">
        <v>6</v>
      </c>
      <c r="D403" t="s">
        <v>53</v>
      </c>
      <c r="E403">
        <v>1979</v>
      </c>
      <c r="F403" t="s">
        <v>9</v>
      </c>
      <c r="G403" t="s">
        <v>18</v>
      </c>
      <c r="H403" t="s">
        <v>48</v>
      </c>
    </row>
    <row r="404" spans="1:8" x14ac:dyDescent="0.2">
      <c r="A404">
        <f>_xlfn.XLOOKUP(D404, [1]Raphanus_specimens_all_2025!G:G, [1]Raphanus_specimens_all_2025!A:A, "")</f>
        <v>202447</v>
      </c>
      <c r="B404">
        <v>202447</v>
      </c>
      <c r="C404" t="s">
        <v>6</v>
      </c>
      <c r="D404" s="2" t="s">
        <v>16</v>
      </c>
      <c r="E404">
        <v>1980</v>
      </c>
      <c r="F404" t="s">
        <v>9</v>
      </c>
      <c r="G404" t="s">
        <v>18</v>
      </c>
      <c r="H404" t="s">
        <v>12</v>
      </c>
    </row>
    <row r="405" spans="1:8" x14ac:dyDescent="0.2">
      <c r="A405">
        <f>_xlfn.XLOOKUP(D405, [1]Raphanus_specimens_all_2025!G:G, [1]Raphanus_specimens_all_2025!A:A, "")</f>
        <v>202461</v>
      </c>
      <c r="B405">
        <v>202461</v>
      </c>
      <c r="C405" t="s">
        <v>6</v>
      </c>
      <c r="D405" t="s">
        <v>54</v>
      </c>
      <c r="E405">
        <v>1980</v>
      </c>
      <c r="F405" t="s">
        <v>9</v>
      </c>
      <c r="G405" t="s">
        <v>18</v>
      </c>
      <c r="H405" t="s">
        <v>55</v>
      </c>
    </row>
    <row r="406" spans="1:8" x14ac:dyDescent="0.2">
      <c r="A406">
        <f>_xlfn.XLOOKUP(D406, [1]Raphanus_specimens_all_2025!G:G, [1]Raphanus_specimens_all_2025!A:A, "")</f>
        <v>202494</v>
      </c>
      <c r="B406">
        <v>202494</v>
      </c>
      <c r="C406" t="s">
        <v>6</v>
      </c>
      <c r="D406" s="2" t="s">
        <v>30</v>
      </c>
      <c r="E406">
        <v>1982</v>
      </c>
      <c r="F406" t="s">
        <v>9</v>
      </c>
      <c r="G406" t="s">
        <v>18</v>
      </c>
      <c r="H406" t="s">
        <v>25</v>
      </c>
    </row>
    <row r="407" spans="1:8" x14ac:dyDescent="0.2">
      <c r="A407">
        <f>_xlfn.XLOOKUP(D407, [1]Raphanus_specimens_all_2025!G:G, [1]Raphanus_specimens_all_2025!A:A, "")</f>
        <v>6008220</v>
      </c>
      <c r="B407">
        <v>6008220</v>
      </c>
      <c r="C407" t="s">
        <v>6</v>
      </c>
      <c r="D407" t="s">
        <v>45</v>
      </c>
      <c r="E407">
        <v>1982</v>
      </c>
      <c r="F407" t="s">
        <v>9</v>
      </c>
      <c r="G407" t="s">
        <v>18</v>
      </c>
    </row>
    <row r="408" spans="1:8" x14ac:dyDescent="0.2">
      <c r="A408">
        <f>_xlfn.XLOOKUP(D408, [1]Raphanus_specimens_all_2025!G:G, [1]Raphanus_specimens_all_2025!A:A, "")</f>
        <v>202459</v>
      </c>
      <c r="B408">
        <v>202459</v>
      </c>
      <c r="C408" t="s">
        <v>6</v>
      </c>
      <c r="D408" t="s">
        <v>28</v>
      </c>
      <c r="E408">
        <v>1984</v>
      </c>
      <c r="F408" t="s">
        <v>9</v>
      </c>
      <c r="G408" t="s">
        <v>18</v>
      </c>
      <c r="H408" t="s">
        <v>29</v>
      </c>
    </row>
    <row r="409" spans="1:8" x14ac:dyDescent="0.2">
      <c r="A409">
        <f>_xlfn.XLOOKUP(D409, [1]Raphanus_specimens_all_2025!G:G, [1]Raphanus_specimens_all_2025!A:A, "")</f>
        <v>202484</v>
      </c>
      <c r="B409">
        <v>202484</v>
      </c>
      <c r="C409" t="s">
        <v>6</v>
      </c>
      <c r="D409" t="s">
        <v>31</v>
      </c>
      <c r="E409">
        <v>1986</v>
      </c>
      <c r="F409" t="s">
        <v>9</v>
      </c>
      <c r="G409" t="s">
        <v>18</v>
      </c>
      <c r="H409" t="s">
        <v>25</v>
      </c>
    </row>
    <row r="410" spans="1:8" x14ac:dyDescent="0.2">
      <c r="A410">
        <f>_xlfn.XLOOKUP(D410, [1]Raphanus_specimens_all_2025!G:G, [1]Raphanus_specimens_all_2025!A:A, "")</f>
        <v>3630484</v>
      </c>
      <c r="B410">
        <v>3630484</v>
      </c>
      <c r="C410" t="s">
        <v>6</v>
      </c>
      <c r="D410" t="s">
        <v>43</v>
      </c>
      <c r="E410">
        <v>2019</v>
      </c>
      <c r="F410" t="s">
        <v>9</v>
      </c>
      <c r="G410" t="s">
        <v>18</v>
      </c>
    </row>
    <row r="411" spans="1:8" x14ac:dyDescent="0.2">
      <c r="A411">
        <f>_xlfn.XLOOKUP(D411, [1]Raphanus_specimens_all_2025!G:G, [1]Raphanus_specimens_all_2025!A:A, "")</f>
        <v>5752868</v>
      </c>
      <c r="B411">
        <v>5752868</v>
      </c>
      <c r="C411" t="s">
        <v>6</v>
      </c>
      <c r="D411" t="s">
        <v>41</v>
      </c>
      <c r="E411">
        <v>2022</v>
      </c>
      <c r="F411" t="s">
        <v>9</v>
      </c>
      <c r="G411" t="s">
        <v>18</v>
      </c>
    </row>
    <row r="412" spans="1:8" x14ac:dyDescent="0.2">
      <c r="A412">
        <f>_xlfn.XLOOKUP(D412, [1]Raphanus_specimens_all_2025!G:G, [1]Raphanus_specimens_all_2025!A:A, "")</f>
        <v>202470</v>
      </c>
      <c r="B412">
        <v>202470</v>
      </c>
      <c r="C412" t="s">
        <v>6</v>
      </c>
      <c r="D412" s="2" t="s">
        <v>42</v>
      </c>
      <c r="E412">
        <v>1955</v>
      </c>
      <c r="F412" t="s">
        <v>9</v>
      </c>
      <c r="G412" t="s">
        <v>34</v>
      </c>
    </row>
    <row r="413" spans="1:8" x14ac:dyDescent="0.2">
      <c r="A413">
        <f>_xlfn.XLOOKUP(D413, [1]Raphanus_specimens_all_2025!G:G, [1]Raphanus_specimens_all_2025!A:A, "")</f>
        <v>202483</v>
      </c>
      <c r="B413">
        <v>202483</v>
      </c>
      <c r="C413" t="s">
        <v>6</v>
      </c>
      <c r="D413" t="s">
        <v>33</v>
      </c>
      <c r="E413">
        <v>1980</v>
      </c>
      <c r="F413" t="s">
        <v>9</v>
      </c>
      <c r="G413" t="s">
        <v>34</v>
      </c>
      <c r="H413" t="s">
        <v>25</v>
      </c>
    </row>
    <row r="414" spans="1:8" x14ac:dyDescent="0.2">
      <c r="A414">
        <f>_xlfn.XLOOKUP(D414, [1]Raphanus_specimens_all_2025!G:G, [1]Raphanus_specimens_all_2025!A:A, "")</f>
        <v>6008224</v>
      </c>
      <c r="B414">
        <v>6008224</v>
      </c>
      <c r="C414" t="s">
        <v>6</v>
      </c>
      <c r="D414" t="s">
        <v>44</v>
      </c>
      <c r="E414">
        <v>1982</v>
      </c>
      <c r="F414" t="s">
        <v>9</v>
      </c>
      <c r="G414" t="s">
        <v>34</v>
      </c>
    </row>
    <row r="415" spans="1:8" x14ac:dyDescent="0.2">
      <c r="A415">
        <f>_xlfn.XLOOKUP(D415, [1]Raphanus_specimens_all_2025!G:G, [1]Raphanus_specimens_all_2025!A:A, "")</f>
        <v>202475</v>
      </c>
      <c r="B415">
        <v>202475</v>
      </c>
      <c r="C415" t="s">
        <v>6</v>
      </c>
      <c r="D415" t="s">
        <v>58</v>
      </c>
      <c r="E415">
        <v>1988</v>
      </c>
      <c r="F415" t="s">
        <v>9</v>
      </c>
      <c r="G415" t="s">
        <v>34</v>
      </c>
      <c r="H415" t="s">
        <v>48</v>
      </c>
    </row>
    <row r="416" spans="1:8" x14ac:dyDescent="0.2">
      <c r="A416">
        <f>_xlfn.XLOOKUP(D416, [1]Raphanus_specimens_all_2025!G:G, [1]Raphanus_specimens_all_2025!A:A, "")</f>
        <v>216778</v>
      </c>
      <c r="B416">
        <v>216778</v>
      </c>
      <c r="C416" t="s">
        <v>6</v>
      </c>
      <c r="D416" t="s">
        <v>59</v>
      </c>
      <c r="E416">
        <v>2016</v>
      </c>
      <c r="F416" t="s">
        <v>9</v>
      </c>
      <c r="G416" t="s">
        <v>34</v>
      </c>
      <c r="H416" t="s">
        <v>60</v>
      </c>
    </row>
    <row r="417" spans="1:12" x14ac:dyDescent="0.2">
      <c r="A417">
        <f>_xlfn.XLOOKUP(D417, [1]Raphanus_specimens_all_2025!G:G, [1]Raphanus_specimens_all_2025!A:A, "")</f>
        <v>4745859</v>
      </c>
      <c r="B417">
        <v>4745859</v>
      </c>
      <c r="C417" t="s">
        <v>1211</v>
      </c>
      <c r="D417">
        <v>77913</v>
      </c>
      <c r="E417">
        <v>1959</v>
      </c>
      <c r="F417" t="s">
        <v>1213</v>
      </c>
      <c r="G417" t="s">
        <v>11</v>
      </c>
      <c r="H417" t="s">
        <v>78</v>
      </c>
      <c r="K417" t="s">
        <v>1081</v>
      </c>
      <c r="L417" s="11">
        <v>45968</v>
      </c>
    </row>
    <row r="418" spans="1:12" x14ac:dyDescent="0.2">
      <c r="A418">
        <f>_xlfn.XLOOKUP(D418, [1]Raphanus_specimens_all_2025!G:G, [1]Raphanus_specimens_all_2025!A:A, "")</f>
        <v>4745869</v>
      </c>
      <c r="B418">
        <v>4745869</v>
      </c>
      <c r="C418" t="s">
        <v>1211</v>
      </c>
      <c r="D418">
        <v>77919</v>
      </c>
      <c r="E418">
        <v>1960</v>
      </c>
      <c r="F418" t="s">
        <v>713</v>
      </c>
      <c r="G418" t="s">
        <v>11</v>
      </c>
      <c r="H418" t="s">
        <v>78</v>
      </c>
      <c r="I418" t="s">
        <v>1216</v>
      </c>
      <c r="K418" t="s">
        <v>1081</v>
      </c>
      <c r="L418" s="11">
        <v>45968</v>
      </c>
    </row>
    <row r="419" spans="1:12" x14ac:dyDescent="0.2">
      <c r="A419">
        <f>_xlfn.XLOOKUP(D419, [1]Raphanus_specimens_all_2025!G:G, [1]Raphanus_specimens_all_2025!A:A, "")</f>
        <v>4745861</v>
      </c>
      <c r="B419">
        <v>4745861</v>
      </c>
      <c r="C419" t="s">
        <v>1211</v>
      </c>
      <c r="D419">
        <v>77914</v>
      </c>
      <c r="E419">
        <v>1967</v>
      </c>
      <c r="F419" t="s">
        <v>1212</v>
      </c>
      <c r="G419" t="s">
        <v>11</v>
      </c>
      <c r="H419" t="s">
        <v>78</v>
      </c>
      <c r="I419" t="s">
        <v>873</v>
      </c>
      <c r="K419" t="s">
        <v>1081</v>
      </c>
      <c r="L419" s="11">
        <v>45968</v>
      </c>
    </row>
    <row r="420" spans="1:12" x14ac:dyDescent="0.2">
      <c r="A420">
        <f>_xlfn.XLOOKUP(D420, [1]Raphanus_specimens_all_2025!G:G, [1]Raphanus_specimens_all_2025!A:A, "")</f>
        <v>4745870</v>
      </c>
      <c r="B420">
        <v>4745870</v>
      </c>
      <c r="C420" t="s">
        <v>1211</v>
      </c>
      <c r="D420">
        <v>77920</v>
      </c>
      <c r="E420">
        <v>1967</v>
      </c>
      <c r="F420" t="s">
        <v>503</v>
      </c>
      <c r="G420" t="s">
        <v>11</v>
      </c>
      <c r="H420" t="s">
        <v>520</v>
      </c>
      <c r="K420" t="s">
        <v>1081</v>
      </c>
      <c r="L420" s="11">
        <v>45968</v>
      </c>
    </row>
    <row r="421" spans="1:12" x14ac:dyDescent="0.2">
      <c r="A421">
        <f>_xlfn.XLOOKUP(D421, [1]Raphanus_specimens_all_2025!G:G, [1]Raphanus_specimens_all_2025!A:A, "")</f>
        <v>4743360</v>
      </c>
      <c r="B421">
        <v>4743360</v>
      </c>
      <c r="C421" t="s">
        <v>1211</v>
      </c>
      <c r="D421">
        <v>75601</v>
      </c>
      <c r="E421">
        <v>1993</v>
      </c>
      <c r="F421" t="s">
        <v>671</v>
      </c>
      <c r="G421" t="s">
        <v>11</v>
      </c>
      <c r="H421" t="s">
        <v>25</v>
      </c>
      <c r="I421" t="s">
        <v>514</v>
      </c>
      <c r="K421" t="s">
        <v>1081</v>
      </c>
      <c r="L421" s="11">
        <v>45968</v>
      </c>
    </row>
    <row r="422" spans="1:12" x14ac:dyDescent="0.2">
      <c r="A422">
        <f>_xlfn.XLOOKUP(D422, [1]Raphanus_specimens_all_2025!G:G, [1]Raphanus_specimens_all_2025!A:A, "")</f>
        <v>4745856</v>
      </c>
      <c r="B422">
        <v>4745856</v>
      </c>
      <c r="C422" t="s">
        <v>1211</v>
      </c>
      <c r="D422">
        <v>77910</v>
      </c>
      <c r="E422">
        <v>1967</v>
      </c>
      <c r="F422" t="s">
        <v>1215</v>
      </c>
      <c r="G422" t="s">
        <v>1214</v>
      </c>
      <c r="H422" t="s">
        <v>25</v>
      </c>
      <c r="K422" t="s">
        <v>1084</v>
      </c>
      <c r="L422" s="11">
        <v>45968</v>
      </c>
    </row>
    <row r="423" spans="1:12" x14ac:dyDescent="0.2">
      <c r="A423">
        <f>_xlfn.XLOOKUP(D423, [1]Raphanus_specimens_all_2025!G:G, [1]Raphanus_specimens_all_2025!A:A, "")</f>
        <v>4745854</v>
      </c>
      <c r="B423">
        <v>4745854</v>
      </c>
      <c r="C423" t="s">
        <v>1211</v>
      </c>
      <c r="D423">
        <v>77908</v>
      </c>
      <c r="E423">
        <v>1987</v>
      </c>
      <c r="F423" t="s">
        <v>850</v>
      </c>
      <c r="G423" t="s">
        <v>18</v>
      </c>
      <c r="H423" t="s">
        <v>791</v>
      </c>
      <c r="K423" t="s">
        <v>1084</v>
      </c>
      <c r="L423" s="11">
        <v>45968</v>
      </c>
    </row>
    <row r="424" spans="1:12" x14ac:dyDescent="0.2">
      <c r="A424" t="str">
        <f>_xlfn.XLOOKUP(D424, [1]Raphanus_specimens_all_2025!G:G, [1]Raphanus_specimens_all_2025!A:A, "")</f>
        <v/>
      </c>
      <c r="B424" t="s">
        <v>1310</v>
      </c>
      <c r="C424" t="s">
        <v>1274</v>
      </c>
      <c r="D424" t="s">
        <v>1298</v>
      </c>
      <c r="E424">
        <v>1990</v>
      </c>
      <c r="F424" t="s">
        <v>455</v>
      </c>
      <c r="G424" t="s">
        <v>110</v>
      </c>
      <c r="H424" t="s">
        <v>333</v>
      </c>
      <c r="K424" t="s">
        <v>1084</v>
      </c>
      <c r="L424" s="11">
        <v>46070</v>
      </c>
    </row>
    <row r="425" spans="1:12" x14ac:dyDescent="0.2">
      <c r="A425" t="str">
        <f>_xlfn.XLOOKUP(D425, [1]Raphanus_specimens_all_2025!G:G, [1]Raphanus_specimens_all_2025!A:A, "")</f>
        <v/>
      </c>
      <c r="C425" t="s">
        <v>1274</v>
      </c>
      <c r="D425" t="s">
        <v>1275</v>
      </c>
      <c r="E425">
        <v>1997</v>
      </c>
      <c r="F425" t="s">
        <v>455</v>
      </c>
      <c r="G425" t="s">
        <v>11</v>
      </c>
      <c r="H425" t="s">
        <v>25</v>
      </c>
      <c r="K425" t="s">
        <v>1084</v>
      </c>
      <c r="L425" s="11">
        <v>46070</v>
      </c>
    </row>
    <row r="426" spans="1:12" x14ac:dyDescent="0.2">
      <c r="A426" t="str">
        <f>_xlfn.XLOOKUP(D426, [1]Raphanus_specimens_all_2025!G:G, [1]Raphanus_specimens_all_2025!A:A, "")</f>
        <v/>
      </c>
      <c r="C426" t="s">
        <v>1274</v>
      </c>
      <c r="D426" t="s">
        <v>1280</v>
      </c>
      <c r="E426">
        <v>1971</v>
      </c>
      <c r="F426" t="s">
        <v>1284</v>
      </c>
      <c r="G426" t="s">
        <v>11</v>
      </c>
      <c r="H426" t="s">
        <v>670</v>
      </c>
      <c r="I426" t="s">
        <v>362</v>
      </c>
      <c r="K426" t="s">
        <v>1282</v>
      </c>
      <c r="L426" s="11">
        <v>46070</v>
      </c>
    </row>
    <row r="427" spans="1:12" x14ac:dyDescent="0.2">
      <c r="A427" t="str">
        <f>_xlfn.XLOOKUP(D427, [1]Raphanus_specimens_all_2025!G:G, [1]Raphanus_specimens_all_2025!A:A, "")</f>
        <v/>
      </c>
      <c r="C427" t="s">
        <v>1274</v>
      </c>
      <c r="D427" t="s">
        <v>1287</v>
      </c>
      <c r="E427">
        <v>1959</v>
      </c>
      <c r="F427" t="s">
        <v>732</v>
      </c>
      <c r="G427" t="s">
        <v>11</v>
      </c>
      <c r="H427" t="s">
        <v>791</v>
      </c>
      <c r="K427" t="s">
        <v>1282</v>
      </c>
      <c r="L427" s="11">
        <v>46070</v>
      </c>
    </row>
    <row r="428" spans="1:12" x14ac:dyDescent="0.2">
      <c r="A428" t="str">
        <f>_xlfn.XLOOKUP(D428, [1]Raphanus_specimens_all_2025!G:G, [1]Raphanus_specimens_all_2025!A:A, "")</f>
        <v/>
      </c>
      <c r="C428" t="s">
        <v>1274</v>
      </c>
      <c r="D428" t="s">
        <v>1291</v>
      </c>
      <c r="E428">
        <v>1916</v>
      </c>
      <c r="F428" t="s">
        <v>1294</v>
      </c>
      <c r="G428" t="s">
        <v>11</v>
      </c>
      <c r="H428" t="s">
        <v>670</v>
      </c>
      <c r="I428" t="s">
        <v>1292</v>
      </c>
      <c r="K428" t="s">
        <v>1282</v>
      </c>
      <c r="L428" s="11">
        <v>46070</v>
      </c>
    </row>
    <row r="429" spans="1:12" x14ac:dyDescent="0.2">
      <c r="A429" t="str">
        <f>_xlfn.XLOOKUP(D429, [1]Raphanus_specimens_all_2025!G:G, [1]Raphanus_specimens_all_2025!A:A, "")</f>
        <v/>
      </c>
      <c r="C429" t="s">
        <v>1274</v>
      </c>
      <c r="D429" t="s">
        <v>1297</v>
      </c>
      <c r="E429">
        <v>1997</v>
      </c>
      <c r="F429" t="s">
        <v>774</v>
      </c>
      <c r="G429" t="s">
        <v>11</v>
      </c>
      <c r="H429" t="s">
        <v>25</v>
      </c>
      <c r="K429" t="s">
        <v>1282</v>
      </c>
      <c r="L429" s="11">
        <v>46070</v>
      </c>
    </row>
    <row r="430" spans="1:12" x14ac:dyDescent="0.2">
      <c r="A430" t="str">
        <f>_xlfn.XLOOKUP(D430, [1]Raphanus_specimens_all_2025!G:G, [1]Raphanus_specimens_all_2025!A:A, "")</f>
        <v/>
      </c>
      <c r="C430" t="s">
        <v>1274</v>
      </c>
      <c r="D430" t="s">
        <v>1276</v>
      </c>
      <c r="E430">
        <v>1998</v>
      </c>
      <c r="F430" t="s">
        <v>808</v>
      </c>
      <c r="G430" t="s">
        <v>437</v>
      </c>
      <c r="H430" t="s">
        <v>992</v>
      </c>
      <c r="I430" t="s">
        <v>362</v>
      </c>
      <c r="K430" t="s">
        <v>1084</v>
      </c>
      <c r="L430" s="11">
        <v>46070</v>
      </c>
    </row>
    <row r="431" spans="1:12" x14ac:dyDescent="0.2">
      <c r="A431" t="str">
        <f>_xlfn.XLOOKUP(D431, [1]Raphanus_specimens_all_2025!G:G, [1]Raphanus_specimens_all_2025!A:A, "")</f>
        <v/>
      </c>
      <c r="C431" t="s">
        <v>1274</v>
      </c>
      <c r="D431" t="s">
        <v>1277</v>
      </c>
      <c r="E431">
        <v>1984</v>
      </c>
      <c r="F431" t="s">
        <v>735</v>
      </c>
      <c r="G431" t="s">
        <v>437</v>
      </c>
      <c r="H431" t="s">
        <v>670</v>
      </c>
      <c r="K431" t="s">
        <v>1086</v>
      </c>
      <c r="L431" s="11">
        <v>46070</v>
      </c>
    </row>
    <row r="432" spans="1:12" x14ac:dyDescent="0.2">
      <c r="A432" t="str">
        <f>_xlfn.XLOOKUP(D432, [1]Raphanus_specimens_all_2025!G:G, [1]Raphanus_specimens_all_2025!A:A, "")</f>
        <v/>
      </c>
      <c r="C432" t="s">
        <v>1274</v>
      </c>
      <c r="D432" t="s">
        <v>1299</v>
      </c>
      <c r="E432">
        <v>1987</v>
      </c>
      <c r="F432" t="s">
        <v>455</v>
      </c>
      <c r="G432" t="s">
        <v>437</v>
      </c>
      <c r="H432" t="s">
        <v>94</v>
      </c>
      <c r="K432" t="s">
        <v>1084</v>
      </c>
      <c r="L432" s="11">
        <v>46070</v>
      </c>
    </row>
    <row r="433" spans="1:12" x14ac:dyDescent="0.2">
      <c r="A433" t="str">
        <f>_xlfn.XLOOKUP(D433, [1]Raphanus_specimens_all_2025!G:G, [1]Raphanus_specimens_all_2025!A:A, "")</f>
        <v/>
      </c>
      <c r="C433" t="s">
        <v>1274</v>
      </c>
      <c r="D433" t="s">
        <v>1279</v>
      </c>
      <c r="E433">
        <v>1971</v>
      </c>
      <c r="F433" t="s">
        <v>1281</v>
      </c>
      <c r="G433" t="s">
        <v>18</v>
      </c>
      <c r="H433" t="s">
        <v>25</v>
      </c>
      <c r="K433" t="s">
        <v>1084</v>
      </c>
      <c r="L433" s="11">
        <v>46070</v>
      </c>
    </row>
    <row r="434" spans="1:12" x14ac:dyDescent="0.2">
      <c r="A434">
        <f>_xlfn.XLOOKUP(D434, [1]Raphanus_specimens_all_2025!G:G, [1]Raphanus_specimens_all_2025!A:A, "")</f>
        <v>1209922</v>
      </c>
      <c r="C434" t="s">
        <v>1274</v>
      </c>
      <c r="D434" t="s">
        <v>1286</v>
      </c>
      <c r="E434">
        <v>1968</v>
      </c>
      <c r="F434" t="s">
        <v>1288</v>
      </c>
      <c r="G434" t="s">
        <v>18</v>
      </c>
      <c r="H434" t="s">
        <v>791</v>
      </c>
      <c r="K434" t="s">
        <v>1084</v>
      </c>
      <c r="L434" s="11">
        <v>46070</v>
      </c>
    </row>
    <row r="435" spans="1:12" x14ac:dyDescent="0.2">
      <c r="A435" t="str">
        <f>_xlfn.XLOOKUP(D435, [1]Raphanus_specimens_all_2025!G:G, [1]Raphanus_specimens_all_2025!A:A, "")</f>
        <v/>
      </c>
      <c r="C435" t="s">
        <v>1274</v>
      </c>
      <c r="D435" t="s">
        <v>1293</v>
      </c>
      <c r="E435">
        <v>1937</v>
      </c>
      <c r="F435" t="s">
        <v>1296</v>
      </c>
      <c r="G435" t="s">
        <v>18</v>
      </c>
      <c r="H435" t="s">
        <v>670</v>
      </c>
      <c r="K435" t="s">
        <v>1084</v>
      </c>
      <c r="L435" s="11">
        <v>46070</v>
      </c>
    </row>
    <row r="436" spans="1:12" x14ac:dyDescent="0.2">
      <c r="A436" t="str">
        <f>_xlfn.XLOOKUP(D436, [1]Raphanus_specimens_all_2025!G:G, [1]Raphanus_specimens_all_2025!A:A, "")</f>
        <v/>
      </c>
      <c r="C436" t="s">
        <v>1274</v>
      </c>
      <c r="D436" t="s">
        <v>1300</v>
      </c>
      <c r="E436">
        <v>1982</v>
      </c>
      <c r="F436" t="s">
        <v>774</v>
      </c>
      <c r="G436" t="s">
        <v>18</v>
      </c>
      <c r="H436" t="s">
        <v>333</v>
      </c>
      <c r="K436" t="s">
        <v>1084</v>
      </c>
      <c r="L436" s="11">
        <v>46070</v>
      </c>
    </row>
    <row r="437" spans="1:12" x14ac:dyDescent="0.2">
      <c r="A437" t="str">
        <f>_xlfn.XLOOKUP(D437, [1]Raphanus_specimens_all_2025!G:G, [1]Raphanus_specimens_all_2025!A:A, "")</f>
        <v/>
      </c>
      <c r="C437" t="s">
        <v>1274</v>
      </c>
      <c r="D437" t="s">
        <v>1301</v>
      </c>
      <c r="E437">
        <v>1980</v>
      </c>
      <c r="F437" t="s">
        <v>850</v>
      </c>
      <c r="G437" t="s">
        <v>18</v>
      </c>
      <c r="H437" t="s">
        <v>25</v>
      </c>
      <c r="K437" t="s">
        <v>1084</v>
      </c>
      <c r="L437" s="11">
        <v>46070</v>
      </c>
    </row>
    <row r="438" spans="1:12" x14ac:dyDescent="0.2">
      <c r="A438" t="str">
        <f>_xlfn.XLOOKUP(D438, [1]Raphanus_specimens_all_2025!G:G, [1]Raphanus_specimens_all_2025!A:A, "")</f>
        <v/>
      </c>
      <c r="C438" t="s">
        <v>1274</v>
      </c>
      <c r="D438" t="s">
        <v>1304</v>
      </c>
      <c r="E438">
        <v>1929</v>
      </c>
      <c r="F438" t="s">
        <v>455</v>
      </c>
      <c r="G438" t="s">
        <v>18</v>
      </c>
      <c r="H438" t="s">
        <v>635</v>
      </c>
      <c r="K438" t="s">
        <v>1084</v>
      </c>
      <c r="L438" s="11">
        <v>46070</v>
      </c>
    </row>
    <row r="439" spans="1:12" x14ac:dyDescent="0.2">
      <c r="A439" t="str">
        <f>_xlfn.XLOOKUP(D439, [1]Raphanus_specimens_all_2025!G:G, [1]Raphanus_specimens_all_2025!A:A, "")</f>
        <v/>
      </c>
      <c r="C439" t="s">
        <v>1274</v>
      </c>
      <c r="D439" t="s">
        <v>1295</v>
      </c>
      <c r="E439">
        <v>1929</v>
      </c>
      <c r="F439" t="s">
        <v>455</v>
      </c>
      <c r="G439" t="s">
        <v>785</v>
      </c>
      <c r="H439" t="s">
        <v>25</v>
      </c>
      <c r="K439" t="s">
        <v>1084</v>
      </c>
      <c r="L439" s="11">
        <v>46070</v>
      </c>
    </row>
    <row r="440" spans="1:12" x14ac:dyDescent="0.2">
      <c r="A440" t="str">
        <f>_xlfn.XLOOKUP(D440, [1]Raphanus_specimens_all_2025!G:G, [1]Raphanus_specimens_all_2025!A:A, "")</f>
        <v/>
      </c>
      <c r="C440" t="s">
        <v>1274</v>
      </c>
      <c r="D440" t="s">
        <v>1306</v>
      </c>
      <c r="E440">
        <v>1928</v>
      </c>
      <c r="F440" t="s">
        <v>1119</v>
      </c>
      <c r="G440" t="s">
        <v>785</v>
      </c>
      <c r="H440" t="s">
        <v>25</v>
      </c>
      <c r="I440" t="s">
        <v>1307</v>
      </c>
      <c r="K440" t="s">
        <v>1084</v>
      </c>
      <c r="L440" s="11">
        <v>46070</v>
      </c>
    </row>
    <row r="441" spans="1:12" x14ac:dyDescent="0.2">
      <c r="A441" t="str">
        <f>_xlfn.XLOOKUP(D441, [1]Raphanus_specimens_all_2025!G:G, [1]Raphanus_specimens_all_2025!A:A, "")</f>
        <v/>
      </c>
      <c r="C441" t="s">
        <v>1274</v>
      </c>
      <c r="D441" t="s">
        <v>1283</v>
      </c>
      <c r="E441">
        <v>1969</v>
      </c>
      <c r="F441" t="s">
        <v>719</v>
      </c>
      <c r="G441" t="s">
        <v>611</v>
      </c>
      <c r="H441" t="s">
        <v>1285</v>
      </c>
      <c r="I441" t="s">
        <v>362</v>
      </c>
      <c r="K441" t="s">
        <v>1282</v>
      </c>
      <c r="L441" s="11">
        <v>46070</v>
      </c>
    </row>
    <row r="442" spans="1:12" x14ac:dyDescent="0.2">
      <c r="A442" t="str">
        <f>_xlfn.XLOOKUP(D442, [1]Raphanus_specimens_all_2025!G:G, [1]Raphanus_specimens_all_2025!A:A, "")</f>
        <v/>
      </c>
      <c r="C442" t="s">
        <v>1274</v>
      </c>
      <c r="D442" t="s">
        <v>1289</v>
      </c>
      <c r="E442">
        <v>1958</v>
      </c>
      <c r="F442" t="s">
        <v>472</v>
      </c>
      <c r="G442" t="s">
        <v>611</v>
      </c>
      <c r="H442" t="s">
        <v>670</v>
      </c>
      <c r="I442" t="s">
        <v>1290</v>
      </c>
      <c r="K442" t="s">
        <v>1084</v>
      </c>
      <c r="L442" s="11">
        <v>46070</v>
      </c>
    </row>
    <row r="443" spans="1:12" x14ac:dyDescent="0.2">
      <c r="A443" t="str">
        <f>_xlfn.XLOOKUP(D443, [1]Raphanus_specimens_all_2025!G:G, [1]Raphanus_specimens_all_2025!A:A, "")</f>
        <v/>
      </c>
      <c r="C443" t="s">
        <v>1274</v>
      </c>
      <c r="D443" t="s">
        <v>1305</v>
      </c>
      <c r="E443">
        <v>1929</v>
      </c>
      <c r="F443" t="s">
        <v>823</v>
      </c>
      <c r="G443" t="s">
        <v>611</v>
      </c>
      <c r="H443" t="s">
        <v>25</v>
      </c>
      <c r="K443" t="s">
        <v>1084</v>
      </c>
      <c r="L443" s="11">
        <v>46070</v>
      </c>
    </row>
    <row r="444" spans="1:12" x14ac:dyDescent="0.2">
      <c r="A444" t="str">
        <f>_xlfn.XLOOKUP(D444, [1]Raphanus_specimens_all_2025!G:G, [1]Raphanus_specimens_all_2025!A:A, "")</f>
        <v/>
      </c>
      <c r="C444" t="s">
        <v>1274</v>
      </c>
      <c r="D444" t="s">
        <v>1278</v>
      </c>
      <c r="E444">
        <v>1973</v>
      </c>
      <c r="F444" t="s">
        <v>455</v>
      </c>
      <c r="G444" t="s">
        <v>361</v>
      </c>
      <c r="H444" t="s">
        <v>783</v>
      </c>
      <c r="I444" t="s">
        <v>362</v>
      </c>
      <c r="K444" t="s">
        <v>1084</v>
      </c>
      <c r="L444" s="11">
        <v>46070</v>
      </c>
    </row>
    <row r="445" spans="1:12" x14ac:dyDescent="0.2">
      <c r="A445">
        <f>_xlfn.XLOOKUP(D445, [1]Raphanus_specimens_all_2025!G:G, [1]Raphanus_specimens_all_2025!A:A, "")</f>
        <v>778436</v>
      </c>
      <c r="C445" t="s">
        <v>1274</v>
      </c>
      <c r="D445" t="s">
        <v>1302</v>
      </c>
      <c r="E445">
        <v>1977</v>
      </c>
      <c r="F445" t="s">
        <v>455</v>
      </c>
      <c r="G445" t="s">
        <v>361</v>
      </c>
      <c r="H445" t="s">
        <v>670</v>
      </c>
      <c r="I445" t="s">
        <v>1303</v>
      </c>
      <c r="K445" t="s">
        <v>1084</v>
      </c>
      <c r="L445" s="11">
        <v>46070</v>
      </c>
    </row>
    <row r="446" spans="1:12" x14ac:dyDescent="0.2">
      <c r="A446">
        <f>_xlfn.XLOOKUP(D446, [1]Raphanus_specimens_all_2025!G:G, [1]Raphanus_specimens_all_2025!A:A, "")</f>
        <v>1089689</v>
      </c>
      <c r="C446" t="s">
        <v>1274</v>
      </c>
      <c r="D446" t="s">
        <v>1308</v>
      </c>
      <c r="E446">
        <v>1983</v>
      </c>
      <c r="F446" t="s">
        <v>491</v>
      </c>
      <c r="G446" t="s">
        <v>1309</v>
      </c>
      <c r="H446" t="s">
        <v>25</v>
      </c>
      <c r="I446" t="s">
        <v>1303</v>
      </c>
      <c r="K446" t="s">
        <v>1084</v>
      </c>
      <c r="L446" s="11">
        <v>46079</v>
      </c>
    </row>
    <row r="447" spans="1:12" x14ac:dyDescent="0.2">
      <c r="C447" t="s">
        <v>1274</v>
      </c>
      <c r="D447" t="s">
        <v>1311</v>
      </c>
      <c r="E447">
        <v>1928</v>
      </c>
      <c r="F447" t="s">
        <v>774</v>
      </c>
      <c r="G447" t="s">
        <v>11</v>
      </c>
      <c r="H447" t="s">
        <v>725</v>
      </c>
      <c r="K447" t="s">
        <v>1084</v>
      </c>
      <c r="L447" s="11">
        <v>46086</v>
      </c>
    </row>
    <row r="448" spans="1:12" x14ac:dyDescent="0.2">
      <c r="C448" t="s">
        <v>1274</v>
      </c>
      <c r="D448" t="s">
        <v>1312</v>
      </c>
      <c r="E448">
        <v>1927</v>
      </c>
      <c r="F448" t="s">
        <v>472</v>
      </c>
      <c r="G448" t="s">
        <v>611</v>
      </c>
      <c r="H448" t="s">
        <v>1314</v>
      </c>
      <c r="K448" t="s">
        <v>1084</v>
      </c>
      <c r="L448" s="11">
        <v>46086</v>
      </c>
    </row>
    <row r="449" spans="3:12" x14ac:dyDescent="0.2">
      <c r="C449" t="s">
        <v>1274</v>
      </c>
      <c r="D449" t="s">
        <v>1313</v>
      </c>
      <c r="E449">
        <v>1927</v>
      </c>
      <c r="F449" t="s">
        <v>774</v>
      </c>
      <c r="G449" t="s">
        <v>369</v>
      </c>
      <c r="H449" t="s">
        <v>25</v>
      </c>
      <c r="K449" t="s">
        <v>1084</v>
      </c>
      <c r="L449" s="11">
        <v>46086</v>
      </c>
    </row>
    <row r="450" spans="3:12" x14ac:dyDescent="0.2">
      <c r="C450" t="s">
        <v>1274</v>
      </c>
      <c r="D450" t="s">
        <v>1315</v>
      </c>
      <c r="E450">
        <v>1926</v>
      </c>
      <c r="F450" t="s">
        <v>491</v>
      </c>
      <c r="G450" t="s">
        <v>437</v>
      </c>
      <c r="H450" t="s">
        <v>725</v>
      </c>
      <c r="K450" t="s">
        <v>1084</v>
      </c>
      <c r="L450" s="11">
        <v>46086</v>
      </c>
    </row>
    <row r="451" spans="3:12" x14ac:dyDescent="0.2">
      <c r="C451" t="s">
        <v>1274</v>
      </c>
      <c r="D451" t="s">
        <v>1316</v>
      </c>
      <c r="E451">
        <v>1925</v>
      </c>
      <c r="F451" t="s">
        <v>472</v>
      </c>
      <c r="G451" t="s">
        <v>11</v>
      </c>
      <c r="H451" t="s">
        <v>25</v>
      </c>
      <c r="K451" t="s">
        <v>1084</v>
      </c>
      <c r="L451" s="11">
        <v>46086</v>
      </c>
    </row>
    <row r="452" spans="3:12" x14ac:dyDescent="0.2">
      <c r="C452" t="s">
        <v>1274</v>
      </c>
      <c r="D452" t="s">
        <v>1317</v>
      </c>
      <c r="E452">
        <v>1921</v>
      </c>
      <c r="F452" t="s">
        <v>529</v>
      </c>
      <c r="G452" t="s">
        <v>11</v>
      </c>
      <c r="H452" t="s">
        <v>25</v>
      </c>
      <c r="I452" t="s">
        <v>362</v>
      </c>
      <c r="K452" t="s">
        <v>1084</v>
      </c>
      <c r="L452" s="11">
        <v>46086</v>
      </c>
    </row>
    <row r="453" spans="3:12" x14ac:dyDescent="0.2">
      <c r="C453" t="s">
        <v>1274</v>
      </c>
      <c r="D453" t="s">
        <v>1318</v>
      </c>
      <c r="E453">
        <v>1953</v>
      </c>
      <c r="F453" t="s">
        <v>1320</v>
      </c>
      <c r="G453" t="s">
        <v>11</v>
      </c>
      <c r="H453" t="s">
        <v>25</v>
      </c>
      <c r="K453" t="s">
        <v>1084</v>
      </c>
      <c r="L453" s="11">
        <v>46086</v>
      </c>
    </row>
    <row r="454" spans="3:12" x14ac:dyDescent="0.2">
      <c r="C454" t="s">
        <v>1274</v>
      </c>
      <c r="D454" t="s">
        <v>1319</v>
      </c>
      <c r="E454">
        <v>1929</v>
      </c>
      <c r="F454" t="s">
        <v>1322</v>
      </c>
      <c r="G454" t="s">
        <v>437</v>
      </c>
      <c r="H454" t="s">
        <v>25</v>
      </c>
      <c r="K454" t="s">
        <v>1084</v>
      </c>
      <c r="L454" s="11">
        <v>46086</v>
      </c>
    </row>
    <row r="455" spans="3:12" x14ac:dyDescent="0.2">
      <c r="C455" t="s">
        <v>1274</v>
      </c>
      <c r="D455" t="s">
        <v>1321</v>
      </c>
      <c r="E455">
        <v>1929</v>
      </c>
      <c r="F455" t="s">
        <v>455</v>
      </c>
      <c r="G455" t="s">
        <v>18</v>
      </c>
      <c r="H455" t="s">
        <v>725</v>
      </c>
      <c r="K455" t="s">
        <v>1084</v>
      </c>
      <c r="L455" s="11">
        <v>46086</v>
      </c>
    </row>
    <row r="456" spans="3:12" x14ac:dyDescent="0.2">
      <c r="C456" t="s">
        <v>1274</v>
      </c>
      <c r="D456" t="s">
        <v>1323</v>
      </c>
      <c r="E456">
        <v>1929</v>
      </c>
      <c r="F456" t="s">
        <v>455</v>
      </c>
      <c r="G456" t="s">
        <v>11</v>
      </c>
      <c r="H456" t="s">
        <v>558</v>
      </c>
      <c r="K456" t="s">
        <v>1282</v>
      </c>
      <c r="L456" s="11">
        <v>46086</v>
      </c>
    </row>
    <row r="457" spans="3:12" x14ac:dyDescent="0.2">
      <c r="C457" t="s">
        <v>1274</v>
      </c>
      <c r="D457" t="s">
        <v>1324</v>
      </c>
      <c r="E457">
        <v>1929</v>
      </c>
      <c r="F457" t="s">
        <v>455</v>
      </c>
      <c r="G457" t="s">
        <v>11</v>
      </c>
      <c r="H457" t="s">
        <v>333</v>
      </c>
      <c r="K457" t="s">
        <v>1282</v>
      </c>
      <c r="L457" s="11">
        <v>46086</v>
      </c>
    </row>
    <row r="458" spans="3:12" x14ac:dyDescent="0.2">
      <c r="C458" t="s">
        <v>1274</v>
      </c>
      <c r="D458" t="s">
        <v>1325</v>
      </c>
      <c r="E458">
        <v>1930</v>
      </c>
      <c r="F458" t="s">
        <v>540</v>
      </c>
      <c r="G458" t="s">
        <v>110</v>
      </c>
      <c r="H458" t="s">
        <v>25</v>
      </c>
      <c r="K458" t="s">
        <v>1084</v>
      </c>
      <c r="L458" s="11">
        <v>46086</v>
      </c>
    </row>
    <row r="459" spans="3:12" x14ac:dyDescent="0.2">
      <c r="C459" t="s">
        <v>1274</v>
      </c>
      <c r="D459" t="s">
        <v>1326</v>
      </c>
      <c r="E459">
        <v>1930</v>
      </c>
      <c r="F459" t="s">
        <v>472</v>
      </c>
      <c r="G459" t="s">
        <v>437</v>
      </c>
      <c r="H459" t="s">
        <v>725</v>
      </c>
      <c r="K459" t="s">
        <v>1282</v>
      </c>
      <c r="L459" s="11">
        <v>46086</v>
      </c>
    </row>
    <row r="460" spans="3:12" x14ac:dyDescent="0.2">
      <c r="C460" t="s">
        <v>1274</v>
      </c>
      <c r="D460" t="s">
        <v>1327</v>
      </c>
      <c r="E460">
        <v>1930</v>
      </c>
      <c r="F460" t="s">
        <v>455</v>
      </c>
      <c r="G460" t="s">
        <v>1328</v>
      </c>
      <c r="H460" t="s">
        <v>725</v>
      </c>
      <c r="K460" t="s">
        <v>1282</v>
      </c>
      <c r="L460" s="11">
        <v>46086</v>
      </c>
    </row>
    <row r="461" spans="3:12" x14ac:dyDescent="0.2">
      <c r="C461" t="s">
        <v>1274</v>
      </c>
      <c r="D461" t="s">
        <v>1329</v>
      </c>
      <c r="E461">
        <v>1940</v>
      </c>
      <c r="F461" t="s">
        <v>455</v>
      </c>
      <c r="G461" t="s">
        <v>11</v>
      </c>
      <c r="H461" t="s">
        <v>333</v>
      </c>
      <c r="K461" t="s">
        <v>1282</v>
      </c>
      <c r="L461" s="11">
        <v>46086</v>
      </c>
    </row>
    <row r="462" spans="3:12" x14ac:dyDescent="0.2">
      <c r="C462" t="s">
        <v>1274</v>
      </c>
      <c r="D462" t="s">
        <v>1330</v>
      </c>
      <c r="E462">
        <v>1941</v>
      </c>
      <c r="F462" t="s">
        <v>1333</v>
      </c>
      <c r="G462" t="s">
        <v>1331</v>
      </c>
      <c r="H462" t="s">
        <v>725</v>
      </c>
      <c r="K462" t="s">
        <v>1282</v>
      </c>
      <c r="L462" s="11">
        <v>46086</v>
      </c>
    </row>
    <row r="463" spans="3:12" x14ac:dyDescent="0.2">
      <c r="C463" t="s">
        <v>1274</v>
      </c>
      <c r="D463" t="s">
        <v>1332</v>
      </c>
      <c r="E463">
        <v>1943</v>
      </c>
      <c r="F463" t="s">
        <v>1334</v>
      </c>
      <c r="G463" t="s">
        <v>437</v>
      </c>
      <c r="H463" t="s">
        <v>25</v>
      </c>
      <c r="K463" t="s">
        <v>1084</v>
      </c>
      <c r="L463" s="11">
        <v>46086</v>
      </c>
    </row>
    <row r="464" spans="3:12" x14ac:dyDescent="0.2">
      <c r="C464" t="s">
        <v>1274</v>
      </c>
      <c r="D464" t="s">
        <v>1335</v>
      </c>
      <c r="E464">
        <v>1948</v>
      </c>
      <c r="F464" t="s">
        <v>808</v>
      </c>
      <c r="G464" t="s">
        <v>11</v>
      </c>
      <c r="H464" t="s">
        <v>725</v>
      </c>
      <c r="K464" t="s">
        <v>1282</v>
      </c>
      <c r="L464" s="11">
        <v>46086</v>
      </c>
    </row>
    <row r="465" spans="1:12" x14ac:dyDescent="0.2">
      <c r="C465" t="s">
        <v>1274</v>
      </c>
      <c r="D465" t="s">
        <v>1336</v>
      </c>
      <c r="E465">
        <v>1952</v>
      </c>
      <c r="F465" t="s">
        <v>732</v>
      </c>
      <c r="G465" t="s">
        <v>1331</v>
      </c>
      <c r="H465" t="s">
        <v>25</v>
      </c>
      <c r="K465" t="s">
        <v>1084</v>
      </c>
      <c r="L465" s="11">
        <v>46086</v>
      </c>
    </row>
    <row r="466" spans="1:12" x14ac:dyDescent="0.2">
      <c r="C466" t="s">
        <v>1274</v>
      </c>
      <c r="D466" t="s">
        <v>1337</v>
      </c>
      <c r="E466">
        <v>1950</v>
      </c>
      <c r="F466" t="s">
        <v>529</v>
      </c>
      <c r="G466" t="s">
        <v>11</v>
      </c>
      <c r="H466" t="s">
        <v>1339</v>
      </c>
      <c r="I466" t="s">
        <v>1338</v>
      </c>
      <c r="K466" t="s">
        <v>1084</v>
      </c>
      <c r="L466" s="11">
        <v>46086</v>
      </c>
    </row>
    <row r="467" spans="1:12" x14ac:dyDescent="0.2">
      <c r="C467" t="s">
        <v>1274</v>
      </c>
      <c r="D467" t="s">
        <v>1340</v>
      </c>
      <c r="E467">
        <v>1953</v>
      </c>
      <c r="F467" t="s">
        <v>455</v>
      </c>
      <c r="G467" t="s">
        <v>11</v>
      </c>
      <c r="H467" t="s">
        <v>725</v>
      </c>
      <c r="K467" t="s">
        <v>1282</v>
      </c>
      <c r="L467" s="11">
        <v>46086</v>
      </c>
    </row>
    <row r="468" spans="1:12" x14ac:dyDescent="0.2">
      <c r="C468" t="s">
        <v>1274</v>
      </c>
      <c r="D468" t="s">
        <v>1341</v>
      </c>
      <c r="E468">
        <v>1931</v>
      </c>
      <c r="F468" t="s">
        <v>455</v>
      </c>
      <c r="G468" t="s">
        <v>1342</v>
      </c>
      <c r="H468" t="s">
        <v>25</v>
      </c>
      <c r="K468" t="s">
        <v>1282</v>
      </c>
      <c r="L468" s="11">
        <v>46086</v>
      </c>
    </row>
    <row r="469" spans="1:12" x14ac:dyDescent="0.2">
      <c r="C469" t="s">
        <v>1274</v>
      </c>
      <c r="D469" t="s">
        <v>1343</v>
      </c>
      <c r="E469">
        <v>1931</v>
      </c>
      <c r="F469" t="s">
        <v>1322</v>
      </c>
      <c r="G469" t="s">
        <v>18</v>
      </c>
      <c r="H469" t="s">
        <v>725</v>
      </c>
      <c r="K469" t="s">
        <v>1084</v>
      </c>
      <c r="L469" s="11">
        <v>46086</v>
      </c>
    </row>
    <row r="470" spans="1:12" x14ac:dyDescent="0.2">
      <c r="C470" t="s">
        <v>1274</v>
      </c>
      <c r="D470" t="s">
        <v>1344</v>
      </c>
      <c r="E470">
        <v>1934</v>
      </c>
      <c r="F470" t="s">
        <v>455</v>
      </c>
      <c r="G470" t="s">
        <v>361</v>
      </c>
      <c r="H470" t="s">
        <v>94</v>
      </c>
      <c r="I470" t="s">
        <v>1346</v>
      </c>
      <c r="K470" t="s">
        <v>1084</v>
      </c>
      <c r="L470" s="11">
        <v>46086</v>
      </c>
    </row>
    <row r="471" spans="1:12" x14ac:dyDescent="0.2">
      <c r="C471" t="s">
        <v>1274</v>
      </c>
      <c r="D471" t="s">
        <v>1345</v>
      </c>
      <c r="E471">
        <v>1936</v>
      </c>
      <c r="F471" t="s">
        <v>594</v>
      </c>
      <c r="G471" t="s">
        <v>437</v>
      </c>
      <c r="H471" t="s">
        <v>25</v>
      </c>
      <c r="K471" t="s">
        <v>1347</v>
      </c>
      <c r="L471" s="11">
        <v>46086</v>
      </c>
    </row>
    <row r="472" spans="1:12" x14ac:dyDescent="0.2">
      <c r="C472" t="s">
        <v>1274</v>
      </c>
      <c r="D472" t="s">
        <v>1348</v>
      </c>
      <c r="E472">
        <v>1938</v>
      </c>
      <c r="F472" t="s">
        <v>1322</v>
      </c>
      <c r="G472" t="s">
        <v>18</v>
      </c>
      <c r="H472" t="s">
        <v>25</v>
      </c>
      <c r="K472" t="s">
        <v>1084</v>
      </c>
      <c r="L472" s="11">
        <v>46086</v>
      </c>
    </row>
    <row r="473" spans="1:12" x14ac:dyDescent="0.2">
      <c r="C473" t="s">
        <v>1274</v>
      </c>
      <c r="D473" t="s">
        <v>1349</v>
      </c>
      <c r="E473">
        <v>1939</v>
      </c>
      <c r="F473" t="s">
        <v>818</v>
      </c>
      <c r="G473" t="s">
        <v>110</v>
      </c>
      <c r="H473" t="s">
        <v>725</v>
      </c>
      <c r="K473" t="s">
        <v>1347</v>
      </c>
      <c r="L473" s="11">
        <v>46086</v>
      </c>
    </row>
    <row r="474" spans="1:12" x14ac:dyDescent="0.2">
      <c r="C474" t="s">
        <v>1274</v>
      </c>
      <c r="D474" t="s">
        <v>1374</v>
      </c>
      <c r="E474">
        <v>1921</v>
      </c>
      <c r="F474" t="s">
        <v>455</v>
      </c>
      <c r="G474" t="s">
        <v>11</v>
      </c>
      <c r="H474" t="s">
        <v>25</v>
      </c>
      <c r="K474" t="s">
        <v>1282</v>
      </c>
      <c r="L474" s="11">
        <v>46091</v>
      </c>
    </row>
    <row r="475" spans="1:12" x14ac:dyDescent="0.2">
      <c r="C475" t="s">
        <v>1274</v>
      </c>
      <c r="D475" t="s">
        <v>1375</v>
      </c>
      <c r="E475">
        <v>1920</v>
      </c>
      <c r="F475" t="s">
        <v>1067</v>
      </c>
      <c r="G475" t="s">
        <v>11</v>
      </c>
      <c r="H475" t="s">
        <v>25</v>
      </c>
      <c r="K475" t="s">
        <v>1084</v>
      </c>
      <c r="L475" s="11">
        <v>46091</v>
      </c>
    </row>
    <row r="476" spans="1:12" x14ac:dyDescent="0.2">
      <c r="A476">
        <f>_xlfn.XLOOKUP(D476, [1]Raphanus_specimens_all_2025!G:G, [1]Raphanus_specimens_all_2025!A:A, "")</f>
        <v>36646</v>
      </c>
      <c r="B476">
        <v>36646</v>
      </c>
      <c r="C476" t="s">
        <v>1024</v>
      </c>
      <c r="D476" t="s">
        <v>1068</v>
      </c>
      <c r="E476">
        <v>1943</v>
      </c>
      <c r="F476" t="s">
        <v>671</v>
      </c>
      <c r="G476" t="s">
        <v>110</v>
      </c>
      <c r="H476" t="s">
        <v>25</v>
      </c>
      <c r="L476" s="11">
        <v>45942</v>
      </c>
    </row>
    <row r="477" spans="1:12" x14ac:dyDescent="0.2">
      <c r="A477">
        <f>_xlfn.XLOOKUP(D477, [1]Raphanus_specimens_all_2025!G:G, [1]Raphanus_specimens_all_2025!A:A, "")</f>
        <v>47113</v>
      </c>
      <c r="B477">
        <v>47113</v>
      </c>
      <c r="C477" t="s">
        <v>1024</v>
      </c>
      <c r="D477" t="s">
        <v>1073</v>
      </c>
      <c r="E477">
        <v>1947</v>
      </c>
      <c r="F477" t="s">
        <v>503</v>
      </c>
      <c r="G477" t="s">
        <v>110</v>
      </c>
      <c r="H477" t="s">
        <v>25</v>
      </c>
      <c r="L477" s="11">
        <v>45942</v>
      </c>
    </row>
    <row r="478" spans="1:12" x14ac:dyDescent="0.2">
      <c r="A478">
        <f>_xlfn.XLOOKUP(D478, [1]Raphanus_specimens_all_2025!G:G, [1]Raphanus_specimens_all_2025!A:A, "")</f>
        <v>116271</v>
      </c>
      <c r="B478">
        <v>116271</v>
      </c>
      <c r="C478" t="s">
        <v>1024</v>
      </c>
      <c r="D478" t="s">
        <v>1060</v>
      </c>
      <c r="E478">
        <v>1959</v>
      </c>
      <c r="F478" t="s">
        <v>974</v>
      </c>
      <c r="G478" t="s">
        <v>110</v>
      </c>
      <c r="H478" t="s">
        <v>25</v>
      </c>
      <c r="L478" s="11">
        <v>45942</v>
      </c>
    </row>
    <row r="479" spans="1:12" x14ac:dyDescent="0.2">
      <c r="A479">
        <f>_xlfn.XLOOKUP(D479, [1]Raphanus_specimens_all_2025!G:G, [1]Raphanus_specimens_all_2025!A:A, "")</f>
        <v>4060635</v>
      </c>
      <c r="B479">
        <v>4060635</v>
      </c>
      <c r="C479" t="s">
        <v>1024</v>
      </c>
      <c r="D479" t="s">
        <v>1057</v>
      </c>
      <c r="E479">
        <v>2020</v>
      </c>
      <c r="F479" t="s">
        <v>774</v>
      </c>
      <c r="G479" t="s">
        <v>110</v>
      </c>
      <c r="H479" t="s">
        <v>670</v>
      </c>
      <c r="L479" s="11">
        <v>45942</v>
      </c>
    </row>
    <row r="480" spans="1:12" x14ac:dyDescent="0.2">
      <c r="A480">
        <f>_xlfn.XLOOKUP(D480, [1]Raphanus_specimens_all_2025!G:G, [1]Raphanus_specimens_all_2025!A:A, "")</f>
        <v>108810</v>
      </c>
      <c r="B480">
        <v>108810</v>
      </c>
      <c r="C480" t="s">
        <v>1024</v>
      </c>
      <c r="D480" t="s">
        <v>1047</v>
      </c>
      <c r="E480">
        <v>1939</v>
      </c>
      <c r="F480" t="s">
        <v>671</v>
      </c>
      <c r="G480" t="s">
        <v>11</v>
      </c>
      <c r="H480" t="s">
        <v>670</v>
      </c>
      <c r="L480" s="11">
        <v>45942</v>
      </c>
    </row>
    <row r="481" spans="1:12" x14ac:dyDescent="0.2">
      <c r="A481">
        <f>_xlfn.XLOOKUP(D481, [1]Raphanus_specimens_all_2025!G:G, [1]Raphanus_specimens_all_2025!A:A, "")</f>
        <v>130694</v>
      </c>
      <c r="B481">
        <v>130694</v>
      </c>
      <c r="C481" t="s">
        <v>1024</v>
      </c>
      <c r="D481" t="s">
        <v>1065</v>
      </c>
      <c r="E481">
        <v>1944</v>
      </c>
      <c r="F481" t="s">
        <v>1067</v>
      </c>
      <c r="G481" t="s">
        <v>11</v>
      </c>
      <c r="H481" t="s">
        <v>25</v>
      </c>
      <c r="I481" t="s">
        <v>1066</v>
      </c>
      <c r="L481" s="11">
        <v>45942</v>
      </c>
    </row>
    <row r="482" spans="1:12" x14ac:dyDescent="0.2">
      <c r="A482">
        <f>_xlfn.XLOOKUP(D482, [1]Raphanus_specimens_all_2025!G:G, [1]Raphanus_specimens_all_2025!A:A, "")</f>
        <v>92110</v>
      </c>
      <c r="B482">
        <v>92110</v>
      </c>
      <c r="C482" t="s">
        <v>1024</v>
      </c>
      <c r="D482" t="s">
        <v>1056</v>
      </c>
      <c r="E482">
        <v>1967</v>
      </c>
      <c r="F482" t="s">
        <v>974</v>
      </c>
      <c r="G482" t="s">
        <v>11</v>
      </c>
      <c r="H482" t="s">
        <v>25</v>
      </c>
      <c r="L482" s="11">
        <v>45942</v>
      </c>
    </row>
    <row r="483" spans="1:12" x14ac:dyDescent="0.2">
      <c r="A483">
        <f>_xlfn.XLOOKUP(D483, [1]Raphanus_specimens_all_2025!G:G, [1]Raphanus_specimens_all_2025!A:A, "")</f>
        <v>91393</v>
      </c>
      <c r="B483">
        <v>91393</v>
      </c>
      <c r="C483" t="s">
        <v>1024</v>
      </c>
      <c r="D483" t="s">
        <v>1075</v>
      </c>
      <c r="E483">
        <v>1982</v>
      </c>
      <c r="F483" t="s">
        <v>491</v>
      </c>
      <c r="G483" t="s">
        <v>11</v>
      </c>
      <c r="H483" t="s">
        <v>992</v>
      </c>
      <c r="L483" s="11">
        <v>45942</v>
      </c>
    </row>
    <row r="484" spans="1:12" x14ac:dyDescent="0.2">
      <c r="A484">
        <f>_xlfn.XLOOKUP(D484, [1]Raphanus_specimens_all_2025!G:G, [1]Raphanus_specimens_all_2025!A:A, "")</f>
        <v>132624</v>
      </c>
      <c r="B484">
        <v>132624</v>
      </c>
      <c r="C484" t="s">
        <v>1024</v>
      </c>
      <c r="D484" t="s">
        <v>1052</v>
      </c>
      <c r="E484">
        <v>1993</v>
      </c>
      <c r="F484" t="s">
        <v>1053</v>
      </c>
      <c r="G484" t="s">
        <v>11</v>
      </c>
      <c r="H484" t="s">
        <v>670</v>
      </c>
      <c r="I484" t="s">
        <v>526</v>
      </c>
      <c r="L484" s="11">
        <v>45942</v>
      </c>
    </row>
    <row r="485" spans="1:12" x14ac:dyDescent="0.2">
      <c r="A485">
        <f>_xlfn.XLOOKUP(D485, [1]Raphanus_specimens_all_2025!G:G, [1]Raphanus_specimens_all_2025!A:A, "")</f>
        <v>407313</v>
      </c>
      <c r="B485">
        <v>407313</v>
      </c>
      <c r="C485" t="s">
        <v>1024</v>
      </c>
      <c r="D485" t="s">
        <v>1071</v>
      </c>
      <c r="E485">
        <v>2010</v>
      </c>
      <c r="F485" t="s">
        <v>1043</v>
      </c>
      <c r="G485" t="s">
        <v>11</v>
      </c>
      <c r="H485" t="s">
        <v>25</v>
      </c>
      <c r="I485" t="s">
        <v>841</v>
      </c>
      <c r="J485" t="s">
        <v>1070</v>
      </c>
      <c r="L485" s="11">
        <v>45942</v>
      </c>
    </row>
    <row r="486" spans="1:12" x14ac:dyDescent="0.2">
      <c r="A486">
        <f>_xlfn.XLOOKUP(D486, [1]Raphanus_specimens_all_2025!G:G, [1]Raphanus_specimens_all_2025!A:A, "")</f>
        <v>124275</v>
      </c>
      <c r="B486">
        <v>124275</v>
      </c>
      <c r="C486" t="s">
        <v>1024</v>
      </c>
      <c r="D486" t="s">
        <v>1039</v>
      </c>
      <c r="E486">
        <v>2015</v>
      </c>
      <c r="F486" t="s">
        <v>1040</v>
      </c>
      <c r="G486" t="s">
        <v>11</v>
      </c>
      <c r="H486" t="s">
        <v>543</v>
      </c>
      <c r="I486" t="s">
        <v>1041</v>
      </c>
      <c r="L486" s="11">
        <v>45942</v>
      </c>
    </row>
    <row r="487" spans="1:12" x14ac:dyDescent="0.2">
      <c r="A487">
        <f>_xlfn.XLOOKUP(D487, [1]Raphanus_specimens_all_2025!G:G, [1]Raphanus_specimens_all_2025!A:A, "")</f>
        <v>148536</v>
      </c>
      <c r="B487">
        <v>148536</v>
      </c>
      <c r="C487" t="s">
        <v>1024</v>
      </c>
      <c r="D487" t="s">
        <v>1025</v>
      </c>
      <c r="E487">
        <v>1967</v>
      </c>
      <c r="F487" t="s">
        <v>647</v>
      </c>
      <c r="G487" t="s">
        <v>369</v>
      </c>
      <c r="H487" t="s">
        <v>670</v>
      </c>
      <c r="I487" t="s">
        <v>1041</v>
      </c>
      <c r="L487" s="11">
        <v>45942</v>
      </c>
    </row>
    <row r="488" spans="1:12" x14ac:dyDescent="0.2">
      <c r="A488">
        <f>_xlfn.XLOOKUP(D488, [1]Raphanus_specimens_all_2025!G:G, [1]Raphanus_specimens_all_2025!A:A, "")</f>
        <v>110889</v>
      </c>
      <c r="B488">
        <v>110889</v>
      </c>
      <c r="C488" t="s">
        <v>1024</v>
      </c>
      <c r="D488" t="s">
        <v>1032</v>
      </c>
      <c r="E488">
        <v>1944</v>
      </c>
      <c r="F488" t="s">
        <v>286</v>
      </c>
      <c r="G488" t="s">
        <v>437</v>
      </c>
      <c r="H488" t="s">
        <v>1033</v>
      </c>
      <c r="I488" t="s">
        <v>1041</v>
      </c>
      <c r="L488" s="11">
        <v>45942</v>
      </c>
    </row>
    <row r="489" spans="1:12" x14ac:dyDescent="0.2">
      <c r="A489">
        <f>_xlfn.XLOOKUP(D489, [1]Raphanus_specimens_all_2025!G:G, [1]Raphanus_specimens_all_2025!A:A, "")</f>
        <v>57675</v>
      </c>
      <c r="B489">
        <v>57675</v>
      </c>
      <c r="C489" t="s">
        <v>1024</v>
      </c>
      <c r="D489" t="s">
        <v>1074</v>
      </c>
      <c r="E489">
        <v>1964</v>
      </c>
      <c r="F489" t="s">
        <v>286</v>
      </c>
      <c r="G489" t="s">
        <v>437</v>
      </c>
      <c r="H489" t="s">
        <v>25</v>
      </c>
      <c r="L489" s="11">
        <v>45942</v>
      </c>
    </row>
    <row r="490" spans="1:12" x14ac:dyDescent="0.2">
      <c r="A490">
        <f>_xlfn.XLOOKUP(D490, [1]Raphanus_specimens_all_2025!G:G, [1]Raphanus_specimens_all_2025!A:A, "")</f>
        <v>92289</v>
      </c>
      <c r="B490">
        <v>92289</v>
      </c>
      <c r="C490" t="s">
        <v>1024</v>
      </c>
      <c r="D490" t="s">
        <v>1026</v>
      </c>
      <c r="E490">
        <v>1967</v>
      </c>
      <c r="F490" t="s">
        <v>1027</v>
      </c>
      <c r="G490" t="s">
        <v>437</v>
      </c>
      <c r="H490" t="s">
        <v>670</v>
      </c>
      <c r="I490" t="s">
        <v>1041</v>
      </c>
      <c r="L490" s="11">
        <v>45942</v>
      </c>
    </row>
    <row r="491" spans="1:12" x14ac:dyDescent="0.2">
      <c r="A491">
        <f>_xlfn.XLOOKUP(D491, [1]Raphanus_specimens_all_2025!G:G, [1]Raphanus_specimens_all_2025!A:A, "")</f>
        <v>55059</v>
      </c>
      <c r="B491">
        <v>55059</v>
      </c>
      <c r="C491" t="s">
        <v>1024</v>
      </c>
      <c r="D491" t="s">
        <v>1054</v>
      </c>
      <c r="E491">
        <v>1967</v>
      </c>
      <c r="F491" t="s">
        <v>774</v>
      </c>
      <c r="G491" t="s">
        <v>437</v>
      </c>
      <c r="H491" t="s">
        <v>25</v>
      </c>
      <c r="I491" t="s">
        <v>1055</v>
      </c>
      <c r="L491" s="11">
        <v>45942</v>
      </c>
    </row>
    <row r="492" spans="1:12" x14ac:dyDescent="0.2">
      <c r="A492">
        <f>_xlfn.XLOOKUP(D492, [1]Raphanus_specimens_all_2025!G:G, [1]Raphanus_specimens_all_2025!A:A, "")</f>
        <v>106233</v>
      </c>
      <c r="B492">
        <v>106233</v>
      </c>
      <c r="C492" t="s">
        <v>1024</v>
      </c>
      <c r="D492" t="s">
        <v>1069</v>
      </c>
      <c r="E492">
        <v>1967</v>
      </c>
      <c r="F492" t="s">
        <v>671</v>
      </c>
      <c r="G492" t="s">
        <v>437</v>
      </c>
      <c r="H492" t="s">
        <v>25</v>
      </c>
      <c r="L492" s="11">
        <v>45942</v>
      </c>
    </row>
    <row r="493" spans="1:12" x14ac:dyDescent="0.2">
      <c r="A493">
        <f>_xlfn.XLOOKUP(D493, [1]Raphanus_specimens_all_2025!G:G, [1]Raphanus_specimens_all_2025!A:A, "")</f>
        <v>106537</v>
      </c>
      <c r="B493">
        <v>106537</v>
      </c>
      <c r="C493" t="s">
        <v>1024</v>
      </c>
      <c r="D493" t="s">
        <v>1050</v>
      </c>
      <c r="E493">
        <v>1977</v>
      </c>
      <c r="F493" t="s">
        <v>1051</v>
      </c>
      <c r="G493" t="s">
        <v>437</v>
      </c>
      <c r="H493" t="s">
        <v>25</v>
      </c>
      <c r="I493" t="s">
        <v>514</v>
      </c>
      <c r="L493" s="11">
        <v>45942</v>
      </c>
    </row>
    <row r="494" spans="1:12" x14ac:dyDescent="0.2">
      <c r="A494">
        <f>_xlfn.XLOOKUP(D494, [1]Raphanus_specimens_all_2025!G:G, [1]Raphanus_specimens_all_2025!A:A, "")</f>
        <v>33390</v>
      </c>
      <c r="B494">
        <v>33390</v>
      </c>
      <c r="C494" t="s">
        <v>1024</v>
      </c>
      <c r="D494" t="s">
        <v>1030</v>
      </c>
      <c r="E494">
        <v>1988</v>
      </c>
      <c r="F494" t="s">
        <v>774</v>
      </c>
      <c r="G494" t="s">
        <v>437</v>
      </c>
      <c r="H494" t="s">
        <v>791</v>
      </c>
      <c r="I494" t="s">
        <v>1041</v>
      </c>
      <c r="L494" s="11">
        <v>45942</v>
      </c>
    </row>
    <row r="495" spans="1:12" x14ac:dyDescent="0.2">
      <c r="A495">
        <f>_xlfn.XLOOKUP(D495, [1]Raphanus_specimens_all_2025!G:G, [1]Raphanus_specimens_all_2025!A:A, "")</f>
        <v>84330</v>
      </c>
      <c r="B495">
        <v>84330</v>
      </c>
      <c r="C495" t="s">
        <v>1024</v>
      </c>
      <c r="D495" t="s">
        <v>1165</v>
      </c>
      <c r="E495">
        <v>2003</v>
      </c>
      <c r="F495" t="s">
        <v>656</v>
      </c>
      <c r="G495" t="s">
        <v>437</v>
      </c>
      <c r="H495" t="s">
        <v>25</v>
      </c>
      <c r="L495" s="11">
        <v>45942</v>
      </c>
    </row>
    <row r="496" spans="1:12" x14ac:dyDescent="0.2">
      <c r="A496">
        <f>_xlfn.XLOOKUP(D496, [1]Raphanus_specimens_all_2025!G:G, [1]Raphanus_specimens_all_2025!A:A, "")</f>
        <v>147598</v>
      </c>
      <c r="B496">
        <v>147598</v>
      </c>
      <c r="C496" t="s">
        <v>1024</v>
      </c>
      <c r="D496" t="s">
        <v>1072</v>
      </c>
      <c r="E496">
        <v>2010</v>
      </c>
      <c r="F496" t="s">
        <v>1051</v>
      </c>
      <c r="G496" t="s">
        <v>437</v>
      </c>
      <c r="H496" t="s">
        <v>543</v>
      </c>
      <c r="L496" s="11">
        <v>45942</v>
      </c>
    </row>
    <row r="497" spans="1:12" x14ac:dyDescent="0.2">
      <c r="A497">
        <f>_xlfn.XLOOKUP(D497, [1]Raphanus_specimens_all_2025!G:G, [1]Raphanus_specimens_all_2025!A:A, "")</f>
        <v>83203</v>
      </c>
      <c r="B497">
        <v>83203</v>
      </c>
      <c r="C497" t="s">
        <v>1024</v>
      </c>
      <c r="D497" t="s">
        <v>1031</v>
      </c>
      <c r="E497">
        <v>1928</v>
      </c>
      <c r="F497" t="s">
        <v>286</v>
      </c>
      <c r="G497" t="s">
        <v>18</v>
      </c>
      <c r="H497" t="s">
        <v>791</v>
      </c>
      <c r="I497" t="s">
        <v>1041</v>
      </c>
      <c r="J497" t="s">
        <v>665</v>
      </c>
      <c r="L497" s="11">
        <v>45942</v>
      </c>
    </row>
    <row r="498" spans="1:12" x14ac:dyDescent="0.2">
      <c r="A498">
        <f>_xlfn.XLOOKUP(D498, [1]Raphanus_specimens_all_2025!G:G, [1]Raphanus_specimens_all_2025!A:A, "")</f>
        <v>73443</v>
      </c>
      <c r="B498">
        <v>73443</v>
      </c>
      <c r="C498" t="s">
        <v>1024</v>
      </c>
      <c r="D498" t="s">
        <v>1029</v>
      </c>
      <c r="E498">
        <v>1930</v>
      </c>
      <c r="F498" t="s">
        <v>455</v>
      </c>
      <c r="G498" t="s">
        <v>18</v>
      </c>
      <c r="H498" t="s">
        <v>670</v>
      </c>
      <c r="I498" t="s">
        <v>1041</v>
      </c>
      <c r="L498" s="11">
        <v>45942</v>
      </c>
    </row>
    <row r="499" spans="1:12" x14ac:dyDescent="0.2">
      <c r="A499">
        <f>_xlfn.XLOOKUP(D499, [1]Raphanus_specimens_all_2025!G:G, [1]Raphanus_specimens_all_2025!A:A, "")</f>
        <v>89884</v>
      </c>
      <c r="B499">
        <v>89884</v>
      </c>
      <c r="C499" t="s">
        <v>1024</v>
      </c>
      <c r="D499" t="s">
        <v>1042</v>
      </c>
      <c r="E499">
        <v>1942</v>
      </c>
      <c r="F499" t="s">
        <v>1043</v>
      </c>
      <c r="G499" t="s">
        <v>18</v>
      </c>
      <c r="H499" t="s">
        <v>97</v>
      </c>
      <c r="I499" t="s">
        <v>1044</v>
      </c>
      <c r="L499" s="11">
        <v>45942</v>
      </c>
    </row>
    <row r="500" spans="1:12" x14ac:dyDescent="0.2">
      <c r="A500">
        <f>_xlfn.XLOOKUP(D500, [1]Raphanus_specimens_all_2025!G:G, [1]Raphanus_specimens_all_2025!A:A, "")</f>
        <v>87856</v>
      </c>
      <c r="B500">
        <v>87856</v>
      </c>
      <c r="C500" t="s">
        <v>1024</v>
      </c>
      <c r="D500" t="s">
        <v>1045</v>
      </c>
      <c r="E500">
        <v>1944</v>
      </c>
      <c r="F500" t="s">
        <v>671</v>
      </c>
      <c r="G500" t="s">
        <v>18</v>
      </c>
      <c r="H500" t="s">
        <v>1046</v>
      </c>
      <c r="I500" t="s">
        <v>526</v>
      </c>
      <c r="L500" s="11">
        <v>45942</v>
      </c>
    </row>
    <row r="501" spans="1:12" x14ac:dyDescent="0.2">
      <c r="A501">
        <f>_xlfn.XLOOKUP(D501, [1]Raphanus_specimens_all_2025!G:G, [1]Raphanus_specimens_all_2025!A:A, "")</f>
        <v>98493</v>
      </c>
      <c r="B501">
        <v>98493</v>
      </c>
      <c r="C501" t="s">
        <v>1024</v>
      </c>
      <c r="D501" t="s">
        <v>1021</v>
      </c>
      <c r="E501">
        <v>1945</v>
      </c>
      <c r="F501" t="s">
        <v>1023</v>
      </c>
      <c r="G501" t="s">
        <v>18</v>
      </c>
      <c r="H501" t="s">
        <v>306</v>
      </c>
      <c r="I501" t="s">
        <v>1041</v>
      </c>
      <c r="J501" t="s">
        <v>1022</v>
      </c>
      <c r="L501" s="11">
        <v>45942</v>
      </c>
    </row>
    <row r="502" spans="1:12" x14ac:dyDescent="0.2">
      <c r="A502">
        <f>_xlfn.XLOOKUP(D502, [1]Raphanus_specimens_all_2025!G:G, [1]Raphanus_specimens_all_2025!A:A, "")</f>
        <v>76355</v>
      </c>
      <c r="B502">
        <v>76355</v>
      </c>
      <c r="C502" t="s">
        <v>1024</v>
      </c>
      <c r="D502" t="s">
        <v>1037</v>
      </c>
      <c r="E502">
        <v>2001</v>
      </c>
      <c r="F502" t="s">
        <v>1038</v>
      </c>
      <c r="G502" t="s">
        <v>18</v>
      </c>
      <c r="H502" t="s">
        <v>791</v>
      </c>
      <c r="I502" t="s">
        <v>1041</v>
      </c>
      <c r="L502" s="11">
        <v>45942</v>
      </c>
    </row>
    <row r="503" spans="1:12" x14ac:dyDescent="0.2">
      <c r="A503">
        <f>_xlfn.XLOOKUP(D503, [1]Raphanus_specimens_all_2025!G:G, [1]Raphanus_specimens_all_2025!A:A, "")</f>
        <v>80367</v>
      </c>
      <c r="B503">
        <v>80367</v>
      </c>
      <c r="C503" t="s">
        <v>1024</v>
      </c>
      <c r="D503" t="s">
        <v>1028</v>
      </c>
      <c r="E503">
        <v>2007</v>
      </c>
      <c r="F503" t="s">
        <v>503</v>
      </c>
      <c r="G503" t="s">
        <v>18</v>
      </c>
      <c r="H503" t="s">
        <v>635</v>
      </c>
      <c r="I503" t="s">
        <v>1041</v>
      </c>
      <c r="L503" s="11">
        <v>45942</v>
      </c>
    </row>
    <row r="504" spans="1:12" x14ac:dyDescent="0.2">
      <c r="A504">
        <f>_xlfn.XLOOKUP(D504, [1]Raphanus_specimens_all_2025!G:G, [1]Raphanus_specimens_all_2025!A:A, "")</f>
        <v>95043</v>
      </c>
      <c r="B504">
        <v>95043</v>
      </c>
      <c r="C504" t="s">
        <v>1024</v>
      </c>
      <c r="D504" t="s">
        <v>1076</v>
      </c>
      <c r="E504">
        <v>2015</v>
      </c>
      <c r="F504" t="s">
        <v>932</v>
      </c>
      <c r="G504" t="s">
        <v>18</v>
      </c>
      <c r="H504" t="s">
        <v>25</v>
      </c>
      <c r="L504" s="11">
        <v>45942</v>
      </c>
    </row>
    <row r="505" spans="1:12" x14ac:dyDescent="0.2">
      <c r="A505">
        <f>_xlfn.XLOOKUP(D505, [1]Raphanus_specimens_all_2025!G:G, [1]Raphanus_specimens_all_2025!A:A, "")</f>
        <v>3771777</v>
      </c>
      <c r="B505">
        <v>3771777</v>
      </c>
      <c r="C505" t="s">
        <v>1024</v>
      </c>
      <c r="D505" t="s">
        <v>1036</v>
      </c>
      <c r="E505">
        <v>2018</v>
      </c>
      <c r="F505" t="s">
        <v>656</v>
      </c>
      <c r="G505" t="s">
        <v>18</v>
      </c>
      <c r="H505" t="s">
        <v>791</v>
      </c>
      <c r="I505" t="s">
        <v>1041</v>
      </c>
      <c r="L505" s="11">
        <v>45942</v>
      </c>
    </row>
    <row r="506" spans="1:12" x14ac:dyDescent="0.2">
      <c r="A506">
        <f>_xlfn.XLOOKUP(D506, [1]Raphanus_specimens_all_2025!G:G, [1]Raphanus_specimens_all_2025!A:A, "")</f>
        <v>2264695</v>
      </c>
      <c r="B506">
        <v>2264695</v>
      </c>
      <c r="C506" t="s">
        <v>1024</v>
      </c>
      <c r="D506" t="s">
        <v>1034</v>
      </c>
      <c r="E506">
        <v>2019</v>
      </c>
      <c r="F506" t="s">
        <v>1035</v>
      </c>
      <c r="G506" t="s">
        <v>18</v>
      </c>
      <c r="H506" t="s">
        <v>676</v>
      </c>
      <c r="I506" t="s">
        <v>1041</v>
      </c>
      <c r="L506" s="11">
        <v>45942</v>
      </c>
    </row>
    <row r="507" spans="1:12" x14ac:dyDescent="0.2">
      <c r="A507">
        <f>_xlfn.XLOOKUP(D507, [1]Raphanus_specimens_all_2025!G:G, [1]Raphanus_specimens_all_2025!A:A, "")</f>
        <v>141265</v>
      </c>
      <c r="B507">
        <v>141265</v>
      </c>
      <c r="C507" t="s">
        <v>1024</v>
      </c>
      <c r="D507" t="s">
        <v>1063</v>
      </c>
      <c r="E507">
        <v>1927</v>
      </c>
      <c r="F507" t="s">
        <v>894</v>
      </c>
      <c r="G507" t="s">
        <v>785</v>
      </c>
      <c r="H507" t="s">
        <v>25</v>
      </c>
      <c r="I507" t="s">
        <v>1064</v>
      </c>
      <c r="L507" s="11">
        <v>45942</v>
      </c>
    </row>
    <row r="508" spans="1:12" x14ac:dyDescent="0.2">
      <c r="A508">
        <f>_xlfn.XLOOKUP(D508, [1]Raphanus_specimens_all_2025!G:G, [1]Raphanus_specimens_all_2025!A:A, "")</f>
        <v>49117</v>
      </c>
      <c r="B508">
        <v>49117</v>
      </c>
      <c r="C508" t="s">
        <v>1024</v>
      </c>
      <c r="D508" t="s">
        <v>1059</v>
      </c>
      <c r="E508">
        <v>1943</v>
      </c>
      <c r="F508" t="s">
        <v>974</v>
      </c>
      <c r="G508" t="s">
        <v>785</v>
      </c>
      <c r="H508" t="s">
        <v>25</v>
      </c>
      <c r="I508" t="s">
        <v>514</v>
      </c>
      <c r="L508" s="11">
        <v>45942</v>
      </c>
    </row>
    <row r="509" spans="1:12" x14ac:dyDescent="0.2">
      <c r="A509">
        <f>_xlfn.XLOOKUP(D509, [1]Raphanus_specimens_all_2025!G:G, [1]Raphanus_specimens_all_2025!A:A, "")</f>
        <v>61217</v>
      </c>
      <c r="B509">
        <v>61217</v>
      </c>
      <c r="C509" t="s">
        <v>1024</v>
      </c>
      <c r="D509" t="s">
        <v>1061</v>
      </c>
      <c r="E509">
        <v>1944</v>
      </c>
      <c r="F509" t="s">
        <v>1062</v>
      </c>
      <c r="G509" t="s">
        <v>785</v>
      </c>
      <c r="H509" t="s">
        <v>25</v>
      </c>
      <c r="I509" t="s">
        <v>526</v>
      </c>
      <c r="L509" s="11">
        <v>45942</v>
      </c>
    </row>
    <row r="510" spans="1:12" x14ac:dyDescent="0.2">
      <c r="A510">
        <f>_xlfn.XLOOKUP(D510, [1]Raphanus_specimens_all_2025!G:G, [1]Raphanus_specimens_all_2025!A:A, "")</f>
        <v>128858</v>
      </c>
      <c r="B510">
        <v>128858</v>
      </c>
      <c r="C510" t="s">
        <v>1024</v>
      </c>
      <c r="D510" t="s">
        <v>1058</v>
      </c>
      <c r="E510">
        <v>1967</v>
      </c>
      <c r="F510" t="s">
        <v>774</v>
      </c>
      <c r="G510" t="s">
        <v>785</v>
      </c>
      <c r="H510" t="s">
        <v>25</v>
      </c>
      <c r="L510" s="11">
        <v>45942</v>
      </c>
    </row>
    <row r="511" spans="1:12" x14ac:dyDescent="0.2">
      <c r="A511">
        <f>_xlfn.XLOOKUP(D511, [1]Raphanus_specimens_all_2025!G:G, [1]Raphanus_specimens_all_2025!A:A, "")</f>
        <v>79706</v>
      </c>
      <c r="B511">
        <v>79706</v>
      </c>
      <c r="C511" t="s">
        <v>1024</v>
      </c>
      <c r="D511" t="s">
        <v>1048</v>
      </c>
      <c r="E511">
        <v>1974</v>
      </c>
      <c r="F511" t="s">
        <v>1049</v>
      </c>
      <c r="G511" t="s">
        <v>785</v>
      </c>
      <c r="H511" t="s">
        <v>25</v>
      </c>
      <c r="I511" t="s">
        <v>526</v>
      </c>
      <c r="L511" s="11">
        <v>45942</v>
      </c>
    </row>
    <row r="512" spans="1:12" x14ac:dyDescent="0.2">
      <c r="A512">
        <f>_xlfn.XLOOKUP(D512, [1]Raphanus_specimens_all_2025!G:G, [1]Raphanus_specimens_all_2025!A:A, "")</f>
        <v>469033</v>
      </c>
      <c r="B512">
        <v>469033</v>
      </c>
      <c r="C512" t="s">
        <v>359</v>
      </c>
      <c r="D512" t="s">
        <v>931</v>
      </c>
      <c r="E512">
        <v>2004</v>
      </c>
      <c r="F512" t="s">
        <v>932</v>
      </c>
      <c r="G512" t="s">
        <v>437</v>
      </c>
      <c r="H512" t="s">
        <v>791</v>
      </c>
      <c r="L512" s="11">
        <v>45906</v>
      </c>
    </row>
    <row r="513" spans="1:12" x14ac:dyDescent="0.2">
      <c r="A513">
        <f>_xlfn.XLOOKUP(D513, [1]Raphanus_specimens_all_2025!G:G, [1]Raphanus_specimens_all_2025!A:A, "")</f>
        <v>469002</v>
      </c>
      <c r="B513">
        <v>469002</v>
      </c>
      <c r="C513" t="s">
        <v>359</v>
      </c>
      <c r="D513" t="s">
        <v>933</v>
      </c>
      <c r="E513">
        <v>1962</v>
      </c>
      <c r="F513" t="s">
        <v>503</v>
      </c>
      <c r="G513" t="s">
        <v>18</v>
      </c>
      <c r="H513" t="s">
        <v>25</v>
      </c>
      <c r="L513" s="11">
        <v>45907</v>
      </c>
    </row>
    <row r="514" spans="1:12" x14ac:dyDescent="0.2">
      <c r="A514">
        <f>_xlfn.XLOOKUP(D514, [1]Raphanus_specimens_all_2025!G:G, [1]Raphanus_specimens_all_2025!A:A, "")</f>
        <v>468986</v>
      </c>
      <c r="B514">
        <v>468986</v>
      </c>
      <c r="C514" t="s">
        <v>359</v>
      </c>
      <c r="D514" t="s">
        <v>934</v>
      </c>
      <c r="E514">
        <v>1940</v>
      </c>
      <c r="F514" t="s">
        <v>377</v>
      </c>
      <c r="G514" t="s">
        <v>18</v>
      </c>
      <c r="H514" t="s">
        <v>85</v>
      </c>
      <c r="L514" s="11">
        <v>45908</v>
      </c>
    </row>
    <row r="515" spans="1:12" x14ac:dyDescent="0.2">
      <c r="A515">
        <f>_xlfn.XLOOKUP(D515, [1]Raphanus_specimens_all_2025!G:G, [1]Raphanus_specimens_all_2025!A:A, "")</f>
        <v>469174</v>
      </c>
      <c r="B515">
        <v>469174</v>
      </c>
      <c r="C515" t="s">
        <v>359</v>
      </c>
      <c r="D515" t="s">
        <v>935</v>
      </c>
      <c r="E515">
        <v>2012</v>
      </c>
      <c r="F515" t="s">
        <v>908</v>
      </c>
      <c r="G515" t="s">
        <v>785</v>
      </c>
      <c r="H515" t="s">
        <v>379</v>
      </c>
      <c r="L515" s="11">
        <v>45909</v>
      </c>
    </row>
    <row r="516" spans="1:12" x14ac:dyDescent="0.2">
      <c r="A516">
        <f>_xlfn.XLOOKUP(D516, [1]Raphanus_specimens_all_2025!G:G, [1]Raphanus_specimens_all_2025!A:A, "")</f>
        <v>468980</v>
      </c>
      <c r="B516">
        <v>468980</v>
      </c>
      <c r="C516" t="s">
        <v>359</v>
      </c>
      <c r="D516" t="s">
        <v>936</v>
      </c>
      <c r="E516">
        <v>1937</v>
      </c>
      <c r="F516" t="s">
        <v>671</v>
      </c>
      <c r="G516" t="s">
        <v>437</v>
      </c>
      <c r="H516" t="s">
        <v>25</v>
      </c>
      <c r="I516" t="s">
        <v>937</v>
      </c>
      <c r="L516" s="11">
        <v>45910</v>
      </c>
    </row>
    <row r="517" spans="1:12" x14ac:dyDescent="0.2">
      <c r="A517">
        <f>_xlfn.XLOOKUP(D517, [1]Raphanus_specimens_all_2025!G:G, [1]Raphanus_specimens_all_2025!A:A, "")</f>
        <v>469091</v>
      </c>
      <c r="B517">
        <v>469091</v>
      </c>
      <c r="C517" t="s">
        <v>359</v>
      </c>
      <c r="D517" t="s">
        <v>938</v>
      </c>
      <c r="E517">
        <v>2006</v>
      </c>
      <c r="F517" t="s">
        <v>671</v>
      </c>
      <c r="G517" t="s">
        <v>11</v>
      </c>
      <c r="H517" t="s">
        <v>379</v>
      </c>
      <c r="L517" s="11">
        <v>45911</v>
      </c>
    </row>
    <row r="518" spans="1:12" x14ac:dyDescent="0.2">
      <c r="A518">
        <f>_xlfn.XLOOKUP(D518, [1]Raphanus_specimens_all_2025!G:G, [1]Raphanus_specimens_all_2025!A:A, "")</f>
        <v>469095</v>
      </c>
      <c r="B518">
        <v>469095</v>
      </c>
      <c r="C518" t="s">
        <v>359</v>
      </c>
      <c r="D518" t="s">
        <v>939</v>
      </c>
      <c r="E518">
        <v>2005</v>
      </c>
      <c r="F518" t="s">
        <v>671</v>
      </c>
      <c r="G518" t="s">
        <v>11</v>
      </c>
      <c r="H518" t="s">
        <v>791</v>
      </c>
      <c r="L518" s="11">
        <v>45912</v>
      </c>
    </row>
    <row r="519" spans="1:12" x14ac:dyDescent="0.2">
      <c r="A519">
        <f>_xlfn.XLOOKUP(D519, [1]Raphanus_specimens_all_2025!G:G, [1]Raphanus_specimens_all_2025!A:A, "")</f>
        <v>469063</v>
      </c>
      <c r="B519">
        <v>469063</v>
      </c>
      <c r="C519" t="s">
        <v>359</v>
      </c>
      <c r="D519" t="s">
        <v>940</v>
      </c>
      <c r="E519">
        <v>2005</v>
      </c>
      <c r="F519" t="s">
        <v>942</v>
      </c>
      <c r="G519" t="s">
        <v>18</v>
      </c>
      <c r="H519" t="s">
        <v>520</v>
      </c>
      <c r="I519" t="s">
        <v>941</v>
      </c>
      <c r="L519" s="11">
        <v>45913</v>
      </c>
    </row>
    <row r="520" spans="1:12" x14ac:dyDescent="0.2">
      <c r="A520">
        <f>_xlfn.XLOOKUP(D520, [1]Raphanus_specimens_all_2025!G:G, [1]Raphanus_specimens_all_2025!A:A, "")</f>
        <v>469036</v>
      </c>
      <c r="B520">
        <v>469036</v>
      </c>
      <c r="C520" t="s">
        <v>359</v>
      </c>
      <c r="D520" t="s">
        <v>943</v>
      </c>
      <c r="E520">
        <v>1990</v>
      </c>
      <c r="F520" t="s">
        <v>503</v>
      </c>
      <c r="G520" t="s">
        <v>437</v>
      </c>
      <c r="H520" t="s">
        <v>676</v>
      </c>
      <c r="L520" s="11">
        <v>45914</v>
      </c>
    </row>
    <row r="521" spans="1:12" x14ac:dyDescent="0.2">
      <c r="A521">
        <f>_xlfn.XLOOKUP(D521, [1]Raphanus_specimens_all_2025!G:G, [1]Raphanus_specimens_all_2025!A:A, "")</f>
        <v>469147</v>
      </c>
      <c r="B521">
        <v>469147</v>
      </c>
      <c r="C521" t="s">
        <v>359</v>
      </c>
      <c r="D521" t="s">
        <v>944</v>
      </c>
      <c r="E521">
        <v>2013</v>
      </c>
      <c r="F521" t="s">
        <v>945</v>
      </c>
      <c r="G521" t="s">
        <v>11</v>
      </c>
      <c r="H521" t="s">
        <v>676</v>
      </c>
      <c r="I521" t="s">
        <v>925</v>
      </c>
      <c r="L521" s="11">
        <v>45915</v>
      </c>
    </row>
    <row r="522" spans="1:12" x14ac:dyDescent="0.2">
      <c r="A522">
        <f>_xlfn.XLOOKUP(D522, [1]Raphanus_specimens_all_2025!G:G, [1]Raphanus_specimens_all_2025!A:A, "")</f>
        <v>469126</v>
      </c>
      <c r="B522">
        <v>469126</v>
      </c>
      <c r="C522" t="s">
        <v>359</v>
      </c>
      <c r="D522" t="s">
        <v>946</v>
      </c>
      <c r="E522">
        <v>2006</v>
      </c>
      <c r="F522" t="s">
        <v>574</v>
      </c>
      <c r="G522" t="s">
        <v>785</v>
      </c>
      <c r="H522" t="s">
        <v>25</v>
      </c>
      <c r="I522" t="s">
        <v>514</v>
      </c>
      <c r="L522" s="11">
        <v>45916</v>
      </c>
    </row>
    <row r="523" spans="1:12" x14ac:dyDescent="0.2">
      <c r="A523">
        <f>_xlfn.XLOOKUP(D523, [1]Raphanus_specimens_all_2025!G:G, [1]Raphanus_specimens_all_2025!A:A, "")</f>
        <v>3113067</v>
      </c>
      <c r="B523">
        <v>3113067</v>
      </c>
      <c r="C523" t="s">
        <v>359</v>
      </c>
      <c r="D523" t="s">
        <v>947</v>
      </c>
      <c r="E523">
        <v>2017</v>
      </c>
      <c r="F523" t="s">
        <v>503</v>
      </c>
      <c r="G523" t="s">
        <v>369</v>
      </c>
      <c r="H523" t="s">
        <v>670</v>
      </c>
      <c r="J523" t="s">
        <v>551</v>
      </c>
      <c r="L523" s="11">
        <v>45917</v>
      </c>
    </row>
    <row r="524" spans="1:12" x14ac:dyDescent="0.2">
      <c r="A524">
        <f>_xlfn.XLOOKUP(D524, [1]Raphanus_specimens_all_2025!G:G, [1]Raphanus_specimens_all_2025!A:A, "")</f>
        <v>2890234</v>
      </c>
      <c r="B524">
        <v>2890234</v>
      </c>
      <c r="C524" t="s">
        <v>359</v>
      </c>
      <c r="D524" t="s">
        <v>948</v>
      </c>
      <c r="E524">
        <v>2018</v>
      </c>
      <c r="F524" t="s">
        <v>823</v>
      </c>
      <c r="G524" t="s">
        <v>11</v>
      </c>
      <c r="H524" t="s">
        <v>520</v>
      </c>
      <c r="L524" s="11">
        <v>45918</v>
      </c>
    </row>
    <row r="525" spans="1:12" x14ac:dyDescent="0.2">
      <c r="A525">
        <f>_xlfn.XLOOKUP(D525, [1]Raphanus_specimens_all_2025!G:G, [1]Raphanus_specimens_all_2025!A:A, "")</f>
        <v>469135</v>
      </c>
      <c r="B525">
        <v>469135</v>
      </c>
      <c r="C525" t="s">
        <v>359</v>
      </c>
      <c r="D525" t="s">
        <v>949</v>
      </c>
      <c r="E525">
        <v>2011</v>
      </c>
      <c r="F525" t="s">
        <v>950</v>
      </c>
      <c r="G525" t="s">
        <v>437</v>
      </c>
      <c r="H525" t="s">
        <v>520</v>
      </c>
      <c r="J525" t="s">
        <v>551</v>
      </c>
      <c r="L525" s="11">
        <v>45919</v>
      </c>
    </row>
    <row r="526" spans="1:12" x14ac:dyDescent="0.2">
      <c r="A526">
        <f>_xlfn.XLOOKUP(D526, [1]Raphanus_specimens_all_2025!G:G, [1]Raphanus_specimens_all_2025!A:A, "")</f>
        <v>469040</v>
      </c>
      <c r="B526">
        <v>469040</v>
      </c>
      <c r="C526" t="s">
        <v>359</v>
      </c>
      <c r="D526" t="s">
        <v>951</v>
      </c>
      <c r="E526">
        <v>2004</v>
      </c>
      <c r="F526" t="s">
        <v>850</v>
      </c>
      <c r="G526" t="s">
        <v>437</v>
      </c>
      <c r="H526" t="s">
        <v>952</v>
      </c>
      <c r="I526" t="s">
        <v>953</v>
      </c>
      <c r="L526" s="11">
        <v>45920</v>
      </c>
    </row>
    <row r="527" spans="1:12" x14ac:dyDescent="0.2">
      <c r="A527">
        <f>_xlfn.XLOOKUP(D527, [1]Raphanus_specimens_all_2025!G:G, [1]Raphanus_specimens_all_2025!A:A, "")</f>
        <v>469129</v>
      </c>
      <c r="B527">
        <v>469129</v>
      </c>
      <c r="C527" t="s">
        <v>359</v>
      </c>
      <c r="D527" t="s">
        <v>954</v>
      </c>
      <c r="E527">
        <v>2008</v>
      </c>
      <c r="F527" t="s">
        <v>850</v>
      </c>
      <c r="G527" t="s">
        <v>437</v>
      </c>
      <c r="H527" t="s">
        <v>635</v>
      </c>
      <c r="I527" t="s">
        <v>514</v>
      </c>
      <c r="L527" s="11">
        <v>45921</v>
      </c>
    </row>
    <row r="528" spans="1:12" x14ac:dyDescent="0.2">
      <c r="A528">
        <f>_xlfn.XLOOKUP(D528, [1]Raphanus_specimens_all_2025!G:G, [1]Raphanus_specimens_all_2025!A:A, "")</f>
        <v>469069</v>
      </c>
      <c r="B528">
        <v>469069</v>
      </c>
      <c r="C528" t="s">
        <v>359</v>
      </c>
      <c r="D528" t="s">
        <v>955</v>
      </c>
      <c r="E528">
        <v>2004</v>
      </c>
      <c r="F528" t="s">
        <v>956</v>
      </c>
      <c r="G528" t="s">
        <v>11</v>
      </c>
      <c r="H528" t="s">
        <v>635</v>
      </c>
      <c r="I528" t="s">
        <v>514</v>
      </c>
      <c r="L528" s="11">
        <v>45922</v>
      </c>
    </row>
    <row r="529" spans="1:12" x14ac:dyDescent="0.2">
      <c r="A529">
        <f>_xlfn.XLOOKUP(D529, [1]Raphanus_specimens_all_2025!G:G, [1]Raphanus_specimens_all_2025!A:A, "")</f>
        <v>469152</v>
      </c>
      <c r="B529">
        <v>469152</v>
      </c>
      <c r="C529" t="s">
        <v>359</v>
      </c>
      <c r="D529" t="s">
        <v>957</v>
      </c>
      <c r="E529">
        <v>2014</v>
      </c>
      <c r="F529" t="s">
        <v>738</v>
      </c>
      <c r="G529" t="s">
        <v>437</v>
      </c>
      <c r="H529" t="s">
        <v>791</v>
      </c>
      <c r="I529" t="s">
        <v>514</v>
      </c>
      <c r="L529" s="11">
        <v>45923</v>
      </c>
    </row>
    <row r="530" spans="1:12" x14ac:dyDescent="0.2">
      <c r="A530">
        <f>_xlfn.XLOOKUP(D530, [1]Raphanus_specimens_all_2025!G:G, [1]Raphanus_specimens_all_2025!A:A, "")</f>
        <v>469151</v>
      </c>
      <c r="B530">
        <v>469151</v>
      </c>
      <c r="C530" t="s">
        <v>359</v>
      </c>
      <c r="D530" t="s">
        <v>958</v>
      </c>
      <c r="E530">
        <v>2011</v>
      </c>
      <c r="F530" t="s">
        <v>774</v>
      </c>
      <c r="G530" t="s">
        <v>437</v>
      </c>
      <c r="H530" t="s">
        <v>959</v>
      </c>
      <c r="L530" s="11">
        <v>45924</v>
      </c>
    </row>
    <row r="531" spans="1:12" x14ac:dyDescent="0.2">
      <c r="A531">
        <f>_xlfn.XLOOKUP(D531, [1]Raphanus_specimens_all_2025!G:G, [1]Raphanus_specimens_all_2025!A:A, "")</f>
        <v>469165</v>
      </c>
      <c r="B531">
        <v>469165</v>
      </c>
      <c r="C531" t="s">
        <v>359</v>
      </c>
      <c r="D531" t="s">
        <v>960</v>
      </c>
      <c r="E531">
        <v>2012</v>
      </c>
      <c r="F531" t="s">
        <v>671</v>
      </c>
      <c r="G531" t="s">
        <v>11</v>
      </c>
      <c r="H531" t="s">
        <v>520</v>
      </c>
      <c r="L531" s="11">
        <v>45925</v>
      </c>
    </row>
    <row r="532" spans="1:12" x14ac:dyDescent="0.2">
      <c r="A532">
        <f>_xlfn.XLOOKUP(D532, [1]Raphanus_specimens_all_2025!G:G, [1]Raphanus_specimens_all_2025!A:A, "")</f>
        <v>469026</v>
      </c>
      <c r="B532">
        <v>469026</v>
      </c>
      <c r="C532" t="s">
        <v>359</v>
      </c>
      <c r="D532" t="s">
        <v>961</v>
      </c>
      <c r="E532">
        <v>1935</v>
      </c>
      <c r="F532" t="s">
        <v>774</v>
      </c>
      <c r="G532" t="s">
        <v>437</v>
      </c>
      <c r="H532" t="s">
        <v>25</v>
      </c>
      <c r="I532" t="s">
        <v>526</v>
      </c>
      <c r="L532" s="11">
        <v>45926</v>
      </c>
    </row>
    <row r="533" spans="1:12" x14ac:dyDescent="0.2">
      <c r="A533">
        <f>_xlfn.XLOOKUP(D533, [1]Raphanus_specimens_all_2025!G:G, [1]Raphanus_specimens_all_2025!A:A, "")</f>
        <v>468992</v>
      </c>
      <c r="B533">
        <v>468992</v>
      </c>
      <c r="C533" t="s">
        <v>359</v>
      </c>
      <c r="D533" t="s">
        <v>962</v>
      </c>
      <c r="E533">
        <v>1935</v>
      </c>
      <c r="F533" t="s">
        <v>963</v>
      </c>
      <c r="G533" t="s">
        <v>437</v>
      </c>
      <c r="H533" t="s">
        <v>25</v>
      </c>
      <c r="L533" s="11">
        <v>45927</v>
      </c>
    </row>
    <row r="534" spans="1:12" x14ac:dyDescent="0.2">
      <c r="A534">
        <f>_xlfn.XLOOKUP(D534, [1]Raphanus_specimens_all_2025!G:G, [1]Raphanus_specimens_all_2025!A:A, "")</f>
        <v>468984</v>
      </c>
      <c r="B534">
        <v>468984</v>
      </c>
      <c r="C534" t="s">
        <v>359</v>
      </c>
      <c r="D534" t="s">
        <v>964</v>
      </c>
      <c r="E534">
        <v>1927</v>
      </c>
      <c r="F534" t="s">
        <v>965</v>
      </c>
      <c r="G534" t="s">
        <v>11</v>
      </c>
      <c r="H534" t="s">
        <v>25</v>
      </c>
      <c r="I534" s="10" t="s">
        <v>966</v>
      </c>
      <c r="L534" s="11">
        <v>45928</v>
      </c>
    </row>
    <row r="535" spans="1:12" x14ac:dyDescent="0.2">
      <c r="A535">
        <f>_xlfn.XLOOKUP(D535, [1]Raphanus_specimens_all_2025!G:G, [1]Raphanus_specimens_all_2025!A:A, "")</f>
        <v>468995</v>
      </c>
      <c r="B535">
        <v>468995</v>
      </c>
      <c r="C535" t="s">
        <v>359</v>
      </c>
      <c r="D535" t="s">
        <v>967</v>
      </c>
      <c r="E535">
        <v>1932</v>
      </c>
      <c r="F535" t="s">
        <v>969</v>
      </c>
      <c r="G535" t="s">
        <v>18</v>
      </c>
      <c r="H535" t="s">
        <v>968</v>
      </c>
      <c r="I535" t="s">
        <v>970</v>
      </c>
      <c r="L535" s="11">
        <v>45929</v>
      </c>
    </row>
    <row r="536" spans="1:12" x14ac:dyDescent="0.2">
      <c r="A536">
        <f>_xlfn.XLOOKUP(D536, [1]Raphanus_specimens_all_2025!G:G, [1]Raphanus_specimens_all_2025!A:A, "")</f>
        <v>3620051</v>
      </c>
      <c r="B536">
        <v>3620051</v>
      </c>
      <c r="C536" t="s">
        <v>359</v>
      </c>
      <c r="D536" t="s">
        <v>972</v>
      </c>
      <c r="E536">
        <v>2017</v>
      </c>
      <c r="F536" t="s">
        <v>974</v>
      </c>
      <c r="G536" t="s">
        <v>11</v>
      </c>
      <c r="H536" t="s">
        <v>791</v>
      </c>
      <c r="I536" t="s">
        <v>973</v>
      </c>
      <c r="J536" t="s">
        <v>971</v>
      </c>
      <c r="L536" s="11">
        <v>45930</v>
      </c>
    </row>
    <row r="537" spans="1:12" x14ac:dyDescent="0.2">
      <c r="A537">
        <f>_xlfn.XLOOKUP(D537, [1]Raphanus_specimens_all_2025!G:G, [1]Raphanus_specimens_all_2025!A:A, "")</f>
        <v>469113</v>
      </c>
      <c r="B537">
        <v>469113</v>
      </c>
      <c r="C537" t="s">
        <v>359</v>
      </c>
      <c r="D537" t="s">
        <v>975</v>
      </c>
      <c r="E537">
        <v>2007</v>
      </c>
      <c r="F537" t="s">
        <v>808</v>
      </c>
      <c r="G537" t="s">
        <v>785</v>
      </c>
      <c r="H537" t="s">
        <v>25</v>
      </c>
      <c r="L537" s="11">
        <v>45931</v>
      </c>
    </row>
    <row r="538" spans="1:12" x14ac:dyDescent="0.2">
      <c r="A538">
        <f>_xlfn.XLOOKUP(D538, [1]Raphanus_specimens_all_2025!G:G, [1]Raphanus_specimens_all_2025!A:A, "")</f>
        <v>469065</v>
      </c>
      <c r="B538">
        <v>469065</v>
      </c>
      <c r="C538" t="s">
        <v>359</v>
      </c>
      <c r="D538" t="s">
        <v>976</v>
      </c>
      <c r="E538">
        <v>2005</v>
      </c>
      <c r="F538" t="s">
        <v>743</v>
      </c>
      <c r="G538" t="s">
        <v>437</v>
      </c>
      <c r="H538" t="s">
        <v>791</v>
      </c>
      <c r="L538" s="11">
        <v>45932</v>
      </c>
    </row>
    <row r="539" spans="1:12" x14ac:dyDescent="0.2">
      <c r="A539">
        <f>_xlfn.XLOOKUP(D539, [1]Raphanus_specimens_all_2025!G:G, [1]Raphanus_specimens_all_2025!A:A, "")</f>
        <v>469115</v>
      </c>
      <c r="B539">
        <v>469115</v>
      </c>
      <c r="C539" t="s">
        <v>359</v>
      </c>
      <c r="D539" t="s">
        <v>977</v>
      </c>
      <c r="E539">
        <v>2006</v>
      </c>
      <c r="F539" t="s">
        <v>774</v>
      </c>
      <c r="G539" t="s">
        <v>437</v>
      </c>
      <c r="H539" t="s">
        <v>520</v>
      </c>
      <c r="J539" t="s">
        <v>979</v>
      </c>
      <c r="L539" s="11">
        <v>45933</v>
      </c>
    </row>
    <row r="540" spans="1:12" x14ac:dyDescent="0.2">
      <c r="A540">
        <f>_xlfn.XLOOKUP(D540, [1]Raphanus_specimens_all_2025!G:G, [1]Raphanus_specimens_all_2025!A:A, "")</f>
        <v>469046</v>
      </c>
      <c r="B540">
        <v>469046</v>
      </c>
      <c r="C540" t="s">
        <v>359</v>
      </c>
      <c r="D540" t="s">
        <v>1003</v>
      </c>
      <c r="E540">
        <v>2005</v>
      </c>
      <c r="F540" t="s">
        <v>671</v>
      </c>
      <c r="G540" t="s">
        <v>110</v>
      </c>
      <c r="H540" t="s">
        <v>306</v>
      </c>
      <c r="L540" s="11">
        <v>45936</v>
      </c>
    </row>
    <row r="541" spans="1:12" x14ac:dyDescent="0.2">
      <c r="A541">
        <f>_xlfn.XLOOKUP(D541, [1]Raphanus_specimens_all_2025!G:G, [1]Raphanus_specimens_all_2025!A:A, "")</f>
        <v>468964</v>
      </c>
      <c r="B541">
        <v>468964</v>
      </c>
      <c r="C541" t="s">
        <v>359</v>
      </c>
      <c r="D541" t="s">
        <v>978</v>
      </c>
      <c r="E541">
        <v>1935</v>
      </c>
      <c r="F541" t="s">
        <v>894</v>
      </c>
      <c r="G541" t="s">
        <v>11</v>
      </c>
      <c r="H541" t="s">
        <v>983</v>
      </c>
      <c r="I541" t="s">
        <v>980</v>
      </c>
      <c r="J541" t="s">
        <v>979</v>
      </c>
      <c r="L541" s="11">
        <v>45936</v>
      </c>
    </row>
    <row r="542" spans="1:12" x14ac:dyDescent="0.2">
      <c r="A542">
        <f>_xlfn.XLOOKUP(D542, [1]Raphanus_specimens_all_2025!G:G, [1]Raphanus_specimens_all_2025!A:A, "")</f>
        <v>468991</v>
      </c>
      <c r="B542">
        <v>468991</v>
      </c>
      <c r="C542" t="s">
        <v>359</v>
      </c>
      <c r="D542" t="s">
        <v>982</v>
      </c>
      <c r="E542">
        <v>1935</v>
      </c>
      <c r="F542" t="s">
        <v>896</v>
      </c>
      <c r="G542" t="s">
        <v>11</v>
      </c>
      <c r="H542" t="s">
        <v>906</v>
      </c>
      <c r="L542" s="11">
        <v>45936</v>
      </c>
    </row>
    <row r="543" spans="1:12" x14ac:dyDescent="0.2">
      <c r="A543">
        <f>_xlfn.XLOOKUP(D543, [1]Raphanus_specimens_all_2025!G:G, [1]Raphanus_specimens_all_2025!A:A, "")</f>
        <v>468966</v>
      </c>
      <c r="B543">
        <v>468966</v>
      </c>
      <c r="C543" t="s">
        <v>359</v>
      </c>
      <c r="D543" t="s">
        <v>999</v>
      </c>
      <c r="E543">
        <v>1936</v>
      </c>
      <c r="F543" t="s">
        <v>671</v>
      </c>
      <c r="G543" t="s">
        <v>11</v>
      </c>
      <c r="H543" t="s">
        <v>25</v>
      </c>
      <c r="L543" s="11">
        <v>45936</v>
      </c>
    </row>
    <row r="544" spans="1:12" x14ac:dyDescent="0.2">
      <c r="A544">
        <f>_xlfn.XLOOKUP(D544, [1]Raphanus_specimens_all_2025!G:G, [1]Raphanus_specimens_all_2025!A:A, "")</f>
        <v>468971</v>
      </c>
      <c r="B544">
        <v>468971</v>
      </c>
      <c r="C544" t="s">
        <v>359</v>
      </c>
      <c r="D544" t="s">
        <v>1007</v>
      </c>
      <c r="E544">
        <v>1936</v>
      </c>
      <c r="F544" t="s">
        <v>774</v>
      </c>
      <c r="G544" t="s">
        <v>11</v>
      </c>
      <c r="H544" t="s">
        <v>25</v>
      </c>
      <c r="I544" t="s">
        <v>993</v>
      </c>
      <c r="L544" s="11">
        <v>45936</v>
      </c>
    </row>
    <row r="545" spans="1:12" x14ac:dyDescent="0.2">
      <c r="A545">
        <f>_xlfn.XLOOKUP(D545, [1]Raphanus_specimens_all_2025!G:G, [1]Raphanus_specimens_all_2025!A:A, "")</f>
        <v>468967</v>
      </c>
      <c r="B545">
        <v>468967</v>
      </c>
      <c r="C545" t="s">
        <v>359</v>
      </c>
      <c r="D545" t="s">
        <v>1010</v>
      </c>
      <c r="E545">
        <v>1936</v>
      </c>
      <c r="F545" t="s">
        <v>671</v>
      </c>
      <c r="G545" t="s">
        <v>11</v>
      </c>
      <c r="H545" t="s">
        <v>1011</v>
      </c>
      <c r="I545" t="s">
        <v>993</v>
      </c>
      <c r="L545" s="11">
        <v>45936</v>
      </c>
    </row>
    <row r="546" spans="1:12" x14ac:dyDescent="0.2">
      <c r="A546">
        <f>_xlfn.XLOOKUP(D546, [1]Raphanus_specimens_all_2025!G:G, [1]Raphanus_specimens_all_2025!A:A, "")</f>
        <v>468975</v>
      </c>
      <c r="B546">
        <v>468975</v>
      </c>
      <c r="C546" t="s">
        <v>359</v>
      </c>
      <c r="D546" t="s">
        <v>1012</v>
      </c>
      <c r="E546">
        <v>1936</v>
      </c>
      <c r="F546" t="s">
        <v>671</v>
      </c>
      <c r="G546" t="s">
        <v>11</v>
      </c>
      <c r="H546" t="s">
        <v>670</v>
      </c>
      <c r="I546" t="s">
        <v>993</v>
      </c>
      <c r="L546" s="11">
        <v>45936</v>
      </c>
    </row>
    <row r="547" spans="1:12" x14ac:dyDescent="0.2">
      <c r="A547">
        <f>_xlfn.XLOOKUP(D547, [1]Raphanus_specimens_all_2025!G:G, [1]Raphanus_specimens_all_2025!A:A, "")</f>
        <v>468977</v>
      </c>
      <c r="B547">
        <v>468977</v>
      </c>
      <c r="C547" t="s">
        <v>359</v>
      </c>
      <c r="D547" t="s">
        <v>997</v>
      </c>
      <c r="E547">
        <v>1937</v>
      </c>
      <c r="F547" t="s">
        <v>808</v>
      </c>
      <c r="G547" t="s">
        <v>11</v>
      </c>
      <c r="H547" t="s">
        <v>670</v>
      </c>
      <c r="J547" t="s">
        <v>998</v>
      </c>
      <c r="L547" s="11">
        <v>45936</v>
      </c>
    </row>
    <row r="548" spans="1:12" x14ac:dyDescent="0.2">
      <c r="A548">
        <f>_xlfn.XLOOKUP(D548, [1]Raphanus_specimens_all_2025!G:G, [1]Raphanus_specimens_all_2025!A:A, "")</f>
        <v>468983</v>
      </c>
      <c r="B548">
        <v>468983</v>
      </c>
      <c r="C548" t="s">
        <v>359</v>
      </c>
      <c r="D548" t="s">
        <v>1008</v>
      </c>
      <c r="E548">
        <v>1938</v>
      </c>
      <c r="F548" t="s">
        <v>671</v>
      </c>
      <c r="G548" t="s">
        <v>11</v>
      </c>
      <c r="H548" t="s">
        <v>25</v>
      </c>
      <c r="I548" t="s">
        <v>993</v>
      </c>
      <c r="L548" s="11">
        <v>45936</v>
      </c>
    </row>
    <row r="549" spans="1:12" x14ac:dyDescent="0.2">
      <c r="A549">
        <f>_xlfn.XLOOKUP(D549, [1]Raphanus_specimens_all_2025!G:G, [1]Raphanus_specimens_all_2025!A:A, "")</f>
        <v>469018</v>
      </c>
      <c r="B549">
        <v>469018</v>
      </c>
      <c r="C549" t="s">
        <v>359</v>
      </c>
      <c r="D549" t="s">
        <v>988</v>
      </c>
      <c r="E549">
        <v>1986</v>
      </c>
      <c r="F549" t="s">
        <v>808</v>
      </c>
      <c r="G549" t="s">
        <v>11</v>
      </c>
      <c r="H549" t="s">
        <v>989</v>
      </c>
      <c r="L549" s="11">
        <v>45936</v>
      </c>
    </row>
    <row r="550" spans="1:12" x14ac:dyDescent="0.2">
      <c r="A550">
        <f>_xlfn.XLOOKUP(D550, [1]Raphanus_specimens_all_2025!G:G, [1]Raphanus_specimens_all_2025!A:A, "")</f>
        <v>469044</v>
      </c>
      <c r="B550">
        <v>469044</v>
      </c>
      <c r="C550" t="s">
        <v>359</v>
      </c>
      <c r="D550" t="s">
        <v>1019</v>
      </c>
      <c r="E550">
        <v>2005</v>
      </c>
      <c r="F550" t="s">
        <v>1020</v>
      </c>
      <c r="G550" t="s">
        <v>11</v>
      </c>
      <c r="H550" t="s">
        <v>791</v>
      </c>
      <c r="I550" t="s">
        <v>526</v>
      </c>
      <c r="L550" s="11">
        <v>45936</v>
      </c>
    </row>
    <row r="551" spans="1:12" x14ac:dyDescent="0.2">
      <c r="A551">
        <f>_xlfn.XLOOKUP(D551, [1]Raphanus_specimens_all_2025!G:G, [1]Raphanus_specimens_all_2025!A:A, "")</f>
        <v>469175</v>
      </c>
      <c r="B551">
        <v>469175</v>
      </c>
      <c r="C551" t="s">
        <v>359</v>
      </c>
      <c r="D551" t="s">
        <v>1004</v>
      </c>
      <c r="E551">
        <v>2012</v>
      </c>
      <c r="F551" t="s">
        <v>671</v>
      </c>
      <c r="G551" t="s">
        <v>11</v>
      </c>
      <c r="H551" t="s">
        <v>791</v>
      </c>
      <c r="L551" s="11">
        <v>45936</v>
      </c>
    </row>
    <row r="552" spans="1:12" x14ac:dyDescent="0.2">
      <c r="A552">
        <f>_xlfn.XLOOKUP(D552, [1]Raphanus_specimens_all_2025!G:G, [1]Raphanus_specimens_all_2025!A:A, "")</f>
        <v>468987</v>
      </c>
      <c r="B552">
        <v>468987</v>
      </c>
      <c r="C552" t="s">
        <v>359</v>
      </c>
      <c r="D552" t="s">
        <v>1009</v>
      </c>
      <c r="E552">
        <v>1940</v>
      </c>
      <c r="F552" t="s">
        <v>671</v>
      </c>
      <c r="G552" t="s">
        <v>369</v>
      </c>
      <c r="H552" t="s">
        <v>25</v>
      </c>
      <c r="I552" t="s">
        <v>993</v>
      </c>
      <c r="L552" s="11">
        <v>45936</v>
      </c>
    </row>
    <row r="553" spans="1:12" x14ac:dyDescent="0.2">
      <c r="A553">
        <f>_xlfn.XLOOKUP(D553, [1]Raphanus_specimens_all_2025!G:G, [1]Raphanus_specimens_all_2025!A:A, "")</f>
        <v>469111</v>
      </c>
      <c r="B553">
        <v>469111</v>
      </c>
      <c r="C553" t="s">
        <v>359</v>
      </c>
      <c r="D553" t="s">
        <v>995</v>
      </c>
      <c r="E553">
        <v>2007</v>
      </c>
      <c r="F553" t="s">
        <v>671</v>
      </c>
      <c r="G553" t="s">
        <v>369</v>
      </c>
      <c r="H553" t="s">
        <v>791</v>
      </c>
      <c r="L553" s="11">
        <v>45936</v>
      </c>
    </row>
    <row r="554" spans="1:12" x14ac:dyDescent="0.2">
      <c r="A554">
        <f>_xlfn.XLOOKUP(D554, [1]Raphanus_specimens_all_2025!G:G, [1]Raphanus_specimens_all_2025!A:A, "")</f>
        <v>468961</v>
      </c>
      <c r="B554">
        <v>468961</v>
      </c>
      <c r="C554" t="s">
        <v>359</v>
      </c>
      <c r="D554" t="s">
        <v>994</v>
      </c>
      <c r="E554">
        <v>1884</v>
      </c>
      <c r="F554" t="s">
        <v>774</v>
      </c>
      <c r="G554" t="s">
        <v>437</v>
      </c>
      <c r="H554" t="s">
        <v>25</v>
      </c>
      <c r="I554" t="s">
        <v>993</v>
      </c>
      <c r="L554" s="11">
        <v>45936</v>
      </c>
    </row>
    <row r="555" spans="1:12" x14ac:dyDescent="0.2">
      <c r="A555">
        <f>_xlfn.XLOOKUP(D555, [1]Raphanus_specimens_all_2025!G:G, [1]Raphanus_specimens_all_2025!A:A, "")</f>
        <v>469013</v>
      </c>
      <c r="B555">
        <v>469013</v>
      </c>
      <c r="C555" t="s">
        <v>359</v>
      </c>
      <c r="D555" t="s">
        <v>1018</v>
      </c>
      <c r="E555">
        <v>1984</v>
      </c>
      <c r="F555" t="s">
        <v>671</v>
      </c>
      <c r="G555" t="s">
        <v>437</v>
      </c>
      <c r="H555" t="s">
        <v>791</v>
      </c>
      <c r="L555" s="11">
        <v>45936</v>
      </c>
    </row>
    <row r="556" spans="1:12" x14ac:dyDescent="0.2">
      <c r="A556">
        <f>_xlfn.XLOOKUP(D556, [1]Raphanus_specimens_all_2025!G:G, [1]Raphanus_specimens_all_2025!A:A, "")</f>
        <v>469055</v>
      </c>
      <c r="B556">
        <v>469055</v>
      </c>
      <c r="C556" t="s">
        <v>359</v>
      </c>
      <c r="D556" t="s">
        <v>1002</v>
      </c>
      <c r="E556">
        <v>2004</v>
      </c>
      <c r="F556" t="s">
        <v>808</v>
      </c>
      <c r="G556" t="s">
        <v>437</v>
      </c>
      <c r="H556" t="s">
        <v>791</v>
      </c>
      <c r="L556" s="11">
        <v>45936</v>
      </c>
    </row>
    <row r="557" spans="1:12" x14ac:dyDescent="0.2">
      <c r="A557">
        <f>_xlfn.XLOOKUP(D557, [1]Raphanus_specimens_all_2025!G:G, [1]Raphanus_specimens_all_2025!A:A, "")</f>
        <v>469061</v>
      </c>
      <c r="B557">
        <v>469061</v>
      </c>
      <c r="C557" t="s">
        <v>359</v>
      </c>
      <c r="D557" t="s">
        <v>1001</v>
      </c>
      <c r="E557">
        <v>2005</v>
      </c>
      <c r="F557" t="s">
        <v>503</v>
      </c>
      <c r="G557" t="s">
        <v>437</v>
      </c>
      <c r="H557" t="s">
        <v>1000</v>
      </c>
      <c r="L557" s="11">
        <v>45936</v>
      </c>
    </row>
    <row r="558" spans="1:12" x14ac:dyDescent="0.2">
      <c r="A558">
        <f>_xlfn.XLOOKUP(D558, [1]Raphanus_specimens_all_2025!G:G, [1]Raphanus_specimens_all_2025!A:A, "")</f>
        <v>469138</v>
      </c>
      <c r="B558">
        <v>469138</v>
      </c>
      <c r="C558" t="s">
        <v>359</v>
      </c>
      <c r="D558" t="s">
        <v>990</v>
      </c>
      <c r="E558">
        <v>2012</v>
      </c>
      <c r="F558" t="s">
        <v>808</v>
      </c>
      <c r="G558" t="s">
        <v>437</v>
      </c>
      <c r="H558" t="s">
        <v>791</v>
      </c>
      <c r="I558" t="s">
        <v>514</v>
      </c>
      <c r="J558" t="s">
        <v>381</v>
      </c>
      <c r="L558" s="11">
        <v>45936</v>
      </c>
    </row>
    <row r="559" spans="1:12" x14ac:dyDescent="0.2">
      <c r="A559">
        <f>_xlfn.XLOOKUP(D559, [1]Raphanus_specimens_all_2025!G:G, [1]Raphanus_specimens_all_2025!A:A, "")</f>
        <v>3700299</v>
      </c>
      <c r="B559">
        <v>3700299</v>
      </c>
      <c r="C559" t="s">
        <v>359</v>
      </c>
      <c r="D559" t="s">
        <v>991</v>
      </c>
      <c r="E559">
        <v>2017</v>
      </c>
      <c r="F559" t="s">
        <v>808</v>
      </c>
      <c r="G559" t="s">
        <v>437</v>
      </c>
      <c r="H559" t="s">
        <v>992</v>
      </c>
      <c r="L559" s="11">
        <v>45936</v>
      </c>
    </row>
    <row r="560" spans="1:12" x14ac:dyDescent="0.2">
      <c r="A560">
        <f>_xlfn.XLOOKUP(D560, [1]Raphanus_specimens_all_2025!G:G, [1]Raphanus_specimens_all_2025!A:A, "")</f>
        <v>468982</v>
      </c>
      <c r="B560">
        <v>468982</v>
      </c>
      <c r="C560" t="s">
        <v>359</v>
      </c>
      <c r="D560" t="s">
        <v>996</v>
      </c>
      <c r="E560">
        <v>1937</v>
      </c>
      <c r="F560" t="s">
        <v>823</v>
      </c>
      <c r="G560" t="s">
        <v>18</v>
      </c>
      <c r="H560" t="s">
        <v>471</v>
      </c>
      <c r="L560" s="11">
        <v>45936</v>
      </c>
    </row>
    <row r="561" spans="1:12" x14ac:dyDescent="0.2">
      <c r="A561">
        <f>_xlfn.XLOOKUP(D561, [1]Raphanus_specimens_all_2025!G:G, [1]Raphanus_specimens_all_2025!A:A, "")</f>
        <v>469107</v>
      </c>
      <c r="B561">
        <v>469107</v>
      </c>
      <c r="C561" t="s">
        <v>359</v>
      </c>
      <c r="D561" t="s">
        <v>984</v>
      </c>
      <c r="E561">
        <v>2007</v>
      </c>
      <c r="F561" t="s">
        <v>985</v>
      </c>
      <c r="G561" t="s">
        <v>18</v>
      </c>
      <c r="H561" t="s">
        <v>791</v>
      </c>
      <c r="I561" t="s">
        <v>986</v>
      </c>
      <c r="L561" s="11">
        <v>45936</v>
      </c>
    </row>
    <row r="562" spans="1:12" x14ac:dyDescent="0.2">
      <c r="A562">
        <f>_xlfn.XLOOKUP(D562, [1]Raphanus_specimens_all_2025!G:G, [1]Raphanus_specimens_all_2025!A:A, "")</f>
        <v>469011</v>
      </c>
      <c r="B562">
        <v>469011</v>
      </c>
      <c r="C562" t="s">
        <v>359</v>
      </c>
      <c r="D562" t="s">
        <v>987</v>
      </c>
      <c r="E562">
        <v>1915</v>
      </c>
      <c r="F562" t="s">
        <v>671</v>
      </c>
      <c r="G562" t="s">
        <v>785</v>
      </c>
      <c r="H562" t="s">
        <v>25</v>
      </c>
      <c r="L562" s="11">
        <v>45936</v>
      </c>
    </row>
    <row r="563" spans="1:12" x14ac:dyDescent="0.2">
      <c r="A563">
        <f>_xlfn.XLOOKUP(D563, [1]Raphanus_specimens_all_2025!G:G, [1]Raphanus_specimens_all_2025!A:A, "")</f>
        <v>468968</v>
      </c>
      <c r="B563">
        <v>468968</v>
      </c>
      <c r="C563" t="s">
        <v>359</v>
      </c>
      <c r="D563" t="s">
        <v>1005</v>
      </c>
      <c r="E563">
        <v>1936</v>
      </c>
      <c r="F563" t="s">
        <v>671</v>
      </c>
      <c r="G563" t="s">
        <v>785</v>
      </c>
      <c r="H563" t="s">
        <v>1006</v>
      </c>
      <c r="I563" t="s">
        <v>993</v>
      </c>
      <c r="L563" s="11">
        <v>45936</v>
      </c>
    </row>
    <row r="564" spans="1:12" x14ac:dyDescent="0.2">
      <c r="A564">
        <f>_xlfn.XLOOKUP(D564, [1]Raphanus_specimens_all_2025!G:G, [1]Raphanus_specimens_all_2025!A:A, "")</f>
        <v>469006</v>
      </c>
      <c r="B564">
        <v>469006</v>
      </c>
      <c r="C564" t="s">
        <v>359</v>
      </c>
      <c r="D564" t="s">
        <v>1016</v>
      </c>
      <c r="E564">
        <v>1971</v>
      </c>
      <c r="F564" t="s">
        <v>950</v>
      </c>
      <c r="G564" t="s">
        <v>785</v>
      </c>
      <c r="H564" t="s">
        <v>791</v>
      </c>
      <c r="I564" t="s">
        <v>1017</v>
      </c>
      <c r="L564" s="11">
        <v>45936</v>
      </c>
    </row>
    <row r="565" spans="1:12" x14ac:dyDescent="0.2">
      <c r="A565">
        <f>_xlfn.XLOOKUP(D565, [1]Raphanus_specimens_all_2025!G:G, [1]Raphanus_specimens_all_2025!A:A, "")</f>
        <v>469053</v>
      </c>
      <c r="B565">
        <v>469053</v>
      </c>
      <c r="C565" t="s">
        <v>359</v>
      </c>
      <c r="D565" t="s">
        <v>1013</v>
      </c>
      <c r="E565">
        <v>2003</v>
      </c>
      <c r="F565" t="s">
        <v>1015</v>
      </c>
      <c r="G565" t="s">
        <v>785</v>
      </c>
      <c r="H565" t="s">
        <v>791</v>
      </c>
      <c r="I565" t="s">
        <v>1014</v>
      </c>
      <c r="L565" s="11">
        <v>45936</v>
      </c>
    </row>
    <row r="566" spans="1:12" x14ac:dyDescent="0.2">
      <c r="A566">
        <f>_xlfn.XLOOKUP(D566, [1]Raphanus_specimens_all_2025!G:G, [1]Raphanus_specimens_all_2025!A:A, "")</f>
        <v>469007</v>
      </c>
      <c r="B566">
        <v>469007</v>
      </c>
      <c r="C566" t="s">
        <v>359</v>
      </c>
      <c r="D566" t="s">
        <v>467</v>
      </c>
      <c r="E566">
        <v>1967</v>
      </c>
      <c r="F566" t="s">
        <v>310</v>
      </c>
      <c r="G566" t="s">
        <v>369</v>
      </c>
      <c r="H566" t="s">
        <v>97</v>
      </c>
    </row>
    <row r="567" spans="1:12" x14ac:dyDescent="0.2">
      <c r="A567">
        <f>_xlfn.XLOOKUP(D567, [1]Raphanus_specimens_all_2025!G:G, [1]Raphanus_specimens_all_2025!A:A, "")</f>
        <v>469005</v>
      </c>
      <c r="B567">
        <v>469005</v>
      </c>
      <c r="C567" t="s">
        <v>359</v>
      </c>
      <c r="D567" t="s">
        <v>389</v>
      </c>
      <c r="E567">
        <v>1930</v>
      </c>
      <c r="F567" t="s">
        <v>240</v>
      </c>
      <c r="G567" t="s">
        <v>110</v>
      </c>
      <c r="H567" t="s">
        <v>390</v>
      </c>
    </row>
    <row r="568" spans="1:12" x14ac:dyDescent="0.2">
      <c r="A568">
        <f>_xlfn.XLOOKUP(D568, [1]Raphanus_specimens_all_2025!G:G, [1]Raphanus_specimens_all_2025!A:A, "")</f>
        <v>469123</v>
      </c>
      <c r="B568">
        <v>469123</v>
      </c>
      <c r="C568" t="s">
        <v>359</v>
      </c>
      <c r="D568" t="s">
        <v>457</v>
      </c>
      <c r="E568">
        <v>2009</v>
      </c>
      <c r="F568" t="s">
        <v>459</v>
      </c>
      <c r="G568" t="s">
        <v>110</v>
      </c>
      <c r="H568" t="s">
        <v>458</v>
      </c>
      <c r="I568" t="s">
        <v>232</v>
      </c>
    </row>
    <row r="569" spans="1:12" x14ac:dyDescent="0.2">
      <c r="A569">
        <f>_xlfn.XLOOKUP(D569, [1]Raphanus_specimens_all_2025!G:G, [1]Raphanus_specimens_all_2025!A:A, "")</f>
        <v>468999</v>
      </c>
      <c r="B569">
        <v>468999</v>
      </c>
      <c r="C569" t="s">
        <v>359</v>
      </c>
      <c r="D569" t="s">
        <v>446</v>
      </c>
      <c r="E569">
        <v>1893</v>
      </c>
      <c r="F569" t="s">
        <v>445</v>
      </c>
      <c r="G569" t="s">
        <v>11</v>
      </c>
      <c r="H569" t="s">
        <v>390</v>
      </c>
      <c r="I569" t="s">
        <v>447</v>
      </c>
    </row>
    <row r="570" spans="1:12" x14ac:dyDescent="0.2">
      <c r="A570">
        <f>_xlfn.XLOOKUP(D570, [1]Raphanus_specimens_all_2025!G:G, [1]Raphanus_specimens_all_2025!A:A, "")</f>
        <v>468996</v>
      </c>
      <c r="B570">
        <v>468996</v>
      </c>
      <c r="C570" t="s">
        <v>359</v>
      </c>
      <c r="D570" t="s">
        <v>431</v>
      </c>
      <c r="E570">
        <v>1931</v>
      </c>
      <c r="F570" t="s">
        <v>435</v>
      </c>
      <c r="G570" t="s">
        <v>11</v>
      </c>
      <c r="H570" t="s">
        <v>78</v>
      </c>
      <c r="I570" t="s">
        <v>434</v>
      </c>
    </row>
    <row r="571" spans="1:12" x14ac:dyDescent="0.2">
      <c r="A571">
        <f>_xlfn.XLOOKUP(D571, [1]Raphanus_specimens_all_2025!G:G, [1]Raphanus_specimens_all_2025!A:A, "")</f>
        <v>468990</v>
      </c>
      <c r="B571">
        <v>468990</v>
      </c>
      <c r="C571" t="s">
        <v>359</v>
      </c>
      <c r="D571" t="s">
        <v>444</v>
      </c>
      <c r="E571">
        <v>1934</v>
      </c>
      <c r="F571" t="s">
        <v>445</v>
      </c>
      <c r="G571" t="s">
        <v>11</v>
      </c>
      <c r="H571" t="s">
        <v>97</v>
      </c>
    </row>
    <row r="572" spans="1:12" x14ac:dyDescent="0.2">
      <c r="A572">
        <f>_xlfn.XLOOKUP(D572, [1]Raphanus_specimens_all_2025!G:G, [1]Raphanus_specimens_all_2025!A:A, "")</f>
        <v>468970</v>
      </c>
      <c r="B572">
        <v>468970</v>
      </c>
      <c r="C572" t="s">
        <v>359</v>
      </c>
      <c r="D572" t="s">
        <v>373</v>
      </c>
      <c r="E572">
        <v>1936</v>
      </c>
      <c r="F572" t="s">
        <v>375</v>
      </c>
      <c r="G572" t="s">
        <v>11</v>
      </c>
      <c r="I572" t="s">
        <v>376</v>
      </c>
    </row>
    <row r="573" spans="1:12" x14ac:dyDescent="0.2">
      <c r="A573">
        <f>_xlfn.XLOOKUP(D573, [1]Raphanus_specimens_all_2025!G:G, [1]Raphanus_specimens_all_2025!A:A, "")</f>
        <v>468972</v>
      </c>
      <c r="B573">
        <v>468972</v>
      </c>
      <c r="C573" t="s">
        <v>359</v>
      </c>
      <c r="D573" t="s">
        <v>410</v>
      </c>
      <c r="E573">
        <v>1936</v>
      </c>
      <c r="F573" t="s">
        <v>414</v>
      </c>
      <c r="G573" t="s">
        <v>11</v>
      </c>
      <c r="H573" t="s">
        <v>97</v>
      </c>
      <c r="I573" t="s">
        <v>412</v>
      </c>
    </row>
    <row r="574" spans="1:12" x14ac:dyDescent="0.2">
      <c r="A574">
        <f>_xlfn.XLOOKUP(D574, [1]Raphanus_specimens_all_2025!G:G, [1]Raphanus_specimens_all_2025!A:A, "")</f>
        <v>468974</v>
      </c>
      <c r="B574">
        <v>468974</v>
      </c>
      <c r="C574" t="s">
        <v>359</v>
      </c>
      <c r="D574" t="s">
        <v>465</v>
      </c>
      <c r="E574">
        <v>1936</v>
      </c>
      <c r="F574" t="s">
        <v>294</v>
      </c>
      <c r="G574" t="s">
        <v>11</v>
      </c>
      <c r="H574" t="s">
        <v>466</v>
      </c>
    </row>
    <row r="575" spans="1:12" x14ac:dyDescent="0.2">
      <c r="A575">
        <f>_xlfn.XLOOKUP(D575, [1]Raphanus_specimens_all_2025!G:G, [1]Raphanus_specimens_all_2025!A:A, "")</f>
        <v>468979</v>
      </c>
      <c r="B575">
        <v>468979</v>
      </c>
      <c r="C575" t="s">
        <v>359</v>
      </c>
      <c r="D575" t="s">
        <v>482</v>
      </c>
      <c r="E575">
        <v>1937</v>
      </c>
      <c r="F575" t="s">
        <v>483</v>
      </c>
      <c r="G575" t="s">
        <v>11</v>
      </c>
      <c r="H575" t="s">
        <v>85</v>
      </c>
      <c r="I575" t="s">
        <v>265</v>
      </c>
      <c r="J575" t="s">
        <v>485</v>
      </c>
    </row>
    <row r="576" spans="1:12" x14ac:dyDescent="0.2">
      <c r="A576">
        <f>_xlfn.XLOOKUP(D576, [1]Raphanus_specimens_all_2025!G:G, [1]Raphanus_specimens_all_2025!A:A, "")</f>
        <v>468985</v>
      </c>
      <c r="B576">
        <v>468985</v>
      </c>
      <c r="C576" t="s">
        <v>359</v>
      </c>
      <c r="D576" t="s">
        <v>468</v>
      </c>
      <c r="E576">
        <v>1940</v>
      </c>
      <c r="F576" t="s">
        <v>469</v>
      </c>
      <c r="G576" t="s">
        <v>11</v>
      </c>
      <c r="H576" t="s">
        <v>92</v>
      </c>
      <c r="I576" t="s">
        <v>232</v>
      </c>
    </row>
    <row r="577" spans="1:9" x14ac:dyDescent="0.2">
      <c r="A577">
        <f>_xlfn.XLOOKUP(D577, [1]Raphanus_specimens_all_2025!G:G, [1]Raphanus_specimens_all_2025!A:A, "")</f>
        <v>469021</v>
      </c>
      <c r="B577">
        <v>469021</v>
      </c>
      <c r="C577" t="s">
        <v>359</v>
      </c>
      <c r="D577" t="s">
        <v>406</v>
      </c>
      <c r="E577">
        <v>1952</v>
      </c>
      <c r="F577" t="s">
        <v>407</v>
      </c>
      <c r="G577" t="s">
        <v>11</v>
      </c>
      <c r="H577" t="s">
        <v>409</v>
      </c>
      <c r="I577" t="s">
        <v>232</v>
      </c>
    </row>
    <row r="578" spans="1:9" x14ac:dyDescent="0.2">
      <c r="A578">
        <f>_xlfn.XLOOKUP(D578, [1]Raphanus_specimens_all_2025!G:G, [1]Raphanus_specimens_all_2025!A:A, "")</f>
        <v>469027</v>
      </c>
      <c r="B578">
        <v>469027</v>
      </c>
      <c r="C578" t="s">
        <v>359</v>
      </c>
      <c r="D578" t="s">
        <v>490</v>
      </c>
      <c r="E578">
        <v>2000</v>
      </c>
      <c r="F578" t="s">
        <v>491</v>
      </c>
      <c r="G578" t="s">
        <v>11</v>
      </c>
      <c r="H578" t="s">
        <v>333</v>
      </c>
    </row>
    <row r="579" spans="1:9" x14ac:dyDescent="0.2">
      <c r="A579">
        <f>_xlfn.XLOOKUP(D579, [1]Raphanus_specimens_all_2025!G:G, [1]Raphanus_specimens_all_2025!A:A, "")</f>
        <v>469078</v>
      </c>
      <c r="B579">
        <v>469078</v>
      </c>
      <c r="C579" t="s">
        <v>359</v>
      </c>
      <c r="D579" t="s">
        <v>462</v>
      </c>
      <c r="E579">
        <v>2004</v>
      </c>
      <c r="F579" t="s">
        <v>463</v>
      </c>
      <c r="G579" t="s">
        <v>11</v>
      </c>
      <c r="H579" t="s">
        <v>379</v>
      </c>
      <c r="I579" t="s">
        <v>232</v>
      </c>
    </row>
    <row r="580" spans="1:9" x14ac:dyDescent="0.2">
      <c r="A580">
        <f>_xlfn.XLOOKUP(D580, [1]Raphanus_specimens_all_2025!G:G, [1]Raphanus_specimens_all_2025!A:A, "")</f>
        <v>469067</v>
      </c>
      <c r="B580">
        <v>469067</v>
      </c>
      <c r="C580" t="s">
        <v>359</v>
      </c>
      <c r="D580" t="s">
        <v>461</v>
      </c>
      <c r="E580">
        <v>2005</v>
      </c>
      <c r="F580" t="s">
        <v>455</v>
      </c>
      <c r="G580" t="s">
        <v>11</v>
      </c>
      <c r="H580" t="s">
        <v>460</v>
      </c>
    </row>
    <row r="581" spans="1:9" x14ac:dyDescent="0.2">
      <c r="A581">
        <f>_xlfn.XLOOKUP(D581, [1]Raphanus_specimens_all_2025!G:G, [1]Raphanus_specimens_all_2025!A:A, "")</f>
        <v>469114</v>
      </c>
      <c r="B581">
        <v>469114</v>
      </c>
      <c r="C581" t="s">
        <v>359</v>
      </c>
      <c r="D581" t="s">
        <v>443</v>
      </c>
      <c r="E581">
        <v>2006</v>
      </c>
      <c r="F581" t="s">
        <v>298</v>
      </c>
      <c r="G581" t="s">
        <v>11</v>
      </c>
      <c r="H581" t="s">
        <v>379</v>
      </c>
    </row>
    <row r="582" spans="1:9" x14ac:dyDescent="0.2">
      <c r="A582">
        <f>_xlfn.XLOOKUP(D582, [1]Raphanus_specimens_all_2025!G:G, [1]Raphanus_specimens_all_2025!A:A, "")</f>
        <v>469096</v>
      </c>
      <c r="B582">
        <v>469096</v>
      </c>
      <c r="C582" t="s">
        <v>359</v>
      </c>
      <c r="D582" t="s">
        <v>456</v>
      </c>
      <c r="E582">
        <v>2006</v>
      </c>
      <c r="F582" t="s">
        <v>455</v>
      </c>
      <c r="G582" t="s">
        <v>11</v>
      </c>
      <c r="H582" t="s">
        <v>94</v>
      </c>
    </row>
    <row r="583" spans="1:9" x14ac:dyDescent="0.2">
      <c r="A583">
        <f>_xlfn.XLOOKUP(D583, [1]Raphanus_specimens_all_2025!G:G, [1]Raphanus_specimens_all_2025!A:A, "")</f>
        <v>469157</v>
      </c>
      <c r="B583">
        <v>469157</v>
      </c>
      <c r="C583" t="s">
        <v>359</v>
      </c>
      <c r="D583" t="s">
        <v>365</v>
      </c>
      <c r="E583">
        <v>2008</v>
      </c>
      <c r="F583" t="s">
        <v>366</v>
      </c>
      <c r="G583" t="s">
        <v>11</v>
      </c>
      <c r="H583" t="s">
        <v>367</v>
      </c>
    </row>
    <row r="584" spans="1:9" x14ac:dyDescent="0.2">
      <c r="A584">
        <f>_xlfn.XLOOKUP(D584, [1]Raphanus_specimens_all_2025!G:G, [1]Raphanus_specimens_all_2025!A:A, "")</f>
        <v>3700296</v>
      </c>
      <c r="B584">
        <v>3700296</v>
      </c>
      <c r="C584" t="s">
        <v>359</v>
      </c>
      <c r="D584" t="s">
        <v>399</v>
      </c>
      <c r="E584">
        <v>2010</v>
      </c>
      <c r="F584" t="s">
        <v>401</v>
      </c>
      <c r="G584" t="s">
        <v>11</v>
      </c>
      <c r="H584" t="s">
        <v>400</v>
      </c>
      <c r="I584" t="s">
        <v>265</v>
      </c>
    </row>
    <row r="585" spans="1:9" x14ac:dyDescent="0.2">
      <c r="A585">
        <f>_xlfn.XLOOKUP(D585, [1]Raphanus_specimens_all_2025!G:G, [1]Raphanus_specimens_all_2025!A:A, "")</f>
        <v>469137</v>
      </c>
      <c r="B585">
        <v>469137</v>
      </c>
      <c r="C585" t="s">
        <v>359</v>
      </c>
      <c r="D585" t="s">
        <v>448</v>
      </c>
      <c r="E585">
        <v>2010</v>
      </c>
      <c r="F585" t="s">
        <v>449</v>
      </c>
      <c r="G585" t="s">
        <v>11</v>
      </c>
      <c r="H585" t="s">
        <v>379</v>
      </c>
      <c r="I585" t="s">
        <v>450</v>
      </c>
    </row>
    <row r="586" spans="1:9" x14ac:dyDescent="0.2">
      <c r="A586">
        <f>_xlfn.XLOOKUP(D586, [1]Raphanus_specimens_all_2025!G:G, [1]Raphanus_specimens_all_2025!A:A, "")</f>
        <v>469136</v>
      </c>
      <c r="B586">
        <v>469136</v>
      </c>
      <c r="C586" t="s">
        <v>359</v>
      </c>
      <c r="D586" t="s">
        <v>419</v>
      </c>
      <c r="E586">
        <v>2012</v>
      </c>
      <c r="F586" t="s">
        <v>423</v>
      </c>
      <c r="G586" t="s">
        <v>11</v>
      </c>
      <c r="H586" t="s">
        <v>333</v>
      </c>
      <c r="I586" t="s">
        <v>232</v>
      </c>
    </row>
    <row r="587" spans="1:9" x14ac:dyDescent="0.2">
      <c r="A587">
        <f>_xlfn.XLOOKUP(D587, [1]Raphanus_specimens_all_2025!G:G, [1]Raphanus_specimens_all_2025!A:A, "")</f>
        <v>469010</v>
      </c>
      <c r="B587">
        <v>469010</v>
      </c>
      <c r="C587" t="s">
        <v>359</v>
      </c>
      <c r="D587" t="s">
        <v>424</v>
      </c>
      <c r="E587">
        <v>1941</v>
      </c>
      <c r="F587" t="s">
        <v>428</v>
      </c>
      <c r="G587" t="s">
        <v>429</v>
      </c>
      <c r="H587" t="s">
        <v>306</v>
      </c>
      <c r="I587" t="s">
        <v>232</v>
      </c>
    </row>
    <row r="588" spans="1:9" x14ac:dyDescent="0.2">
      <c r="A588">
        <f>_xlfn.XLOOKUP(D588, [1]Raphanus_specimens_all_2025!G:G, [1]Raphanus_specimens_all_2025!A:A, "")</f>
        <v>469173</v>
      </c>
      <c r="B588">
        <v>469173</v>
      </c>
      <c r="C588" t="s">
        <v>359</v>
      </c>
      <c r="D588" t="s">
        <v>371</v>
      </c>
      <c r="E588">
        <v>2012</v>
      </c>
      <c r="F588" t="s">
        <v>372</v>
      </c>
      <c r="G588" t="s">
        <v>172</v>
      </c>
      <c r="I588" t="s">
        <v>232</v>
      </c>
    </row>
    <row r="589" spans="1:9" x14ac:dyDescent="0.2">
      <c r="A589">
        <f>_xlfn.XLOOKUP(D589, [1]Raphanus_specimens_all_2025!G:G, [1]Raphanus_specimens_all_2025!A:A, "")</f>
        <v>5934188</v>
      </c>
      <c r="B589">
        <v>5934188</v>
      </c>
      <c r="C589" t="s">
        <v>359</v>
      </c>
      <c r="D589" t="s">
        <v>477</v>
      </c>
      <c r="E589">
        <v>2023</v>
      </c>
      <c r="F589" t="s">
        <v>440</v>
      </c>
      <c r="G589" t="s">
        <v>476</v>
      </c>
      <c r="H589" t="s">
        <v>25</v>
      </c>
      <c r="I589" t="s">
        <v>478</v>
      </c>
    </row>
    <row r="590" spans="1:9" x14ac:dyDescent="0.2">
      <c r="A590">
        <f>_xlfn.XLOOKUP(D590, [1]Raphanus_specimens_all_2025!G:G, [1]Raphanus_specimens_all_2025!A:A, "")</f>
        <v>468963</v>
      </c>
      <c r="B590">
        <v>468963</v>
      </c>
      <c r="C590" t="s">
        <v>359</v>
      </c>
      <c r="D590" t="s">
        <v>484</v>
      </c>
      <c r="E590">
        <v>1875</v>
      </c>
      <c r="F590" t="s">
        <v>486</v>
      </c>
      <c r="G590" t="s">
        <v>369</v>
      </c>
      <c r="H590" t="s">
        <v>25</v>
      </c>
      <c r="I590" t="s">
        <v>487</v>
      </c>
    </row>
    <row r="591" spans="1:9" x14ac:dyDescent="0.2">
      <c r="A591">
        <f>_xlfn.XLOOKUP(D591, [1]Raphanus_specimens_all_2025!G:G, [1]Raphanus_specimens_all_2025!A:A, "")</f>
        <v>468962</v>
      </c>
      <c r="B591">
        <v>468962</v>
      </c>
      <c r="C591" t="s">
        <v>359</v>
      </c>
      <c r="D591" t="s">
        <v>488</v>
      </c>
      <c r="E591">
        <v>1884</v>
      </c>
      <c r="F591" t="s">
        <v>515</v>
      </c>
      <c r="G591" t="s">
        <v>369</v>
      </c>
      <c r="H591" t="s">
        <v>25</v>
      </c>
      <c r="I591" t="s">
        <v>420</v>
      </c>
    </row>
    <row r="592" spans="1:9" x14ac:dyDescent="0.2">
      <c r="A592">
        <f>_xlfn.XLOOKUP(D592, [1]Raphanus_specimens_all_2025!G:G, [1]Raphanus_specimens_all_2025!A:A, "")</f>
        <v>468997</v>
      </c>
      <c r="B592">
        <v>468997</v>
      </c>
      <c r="C592" t="s">
        <v>359</v>
      </c>
      <c r="D592" t="s">
        <v>403</v>
      </c>
      <c r="E592">
        <v>1932</v>
      </c>
      <c r="F592" t="s">
        <v>405</v>
      </c>
      <c r="G592" t="s">
        <v>369</v>
      </c>
      <c r="H592" t="s">
        <v>404</v>
      </c>
      <c r="I592" t="s">
        <v>232</v>
      </c>
    </row>
    <row r="593" spans="1:10" x14ac:dyDescent="0.2">
      <c r="A593">
        <f>_xlfn.XLOOKUP(D593, [1]Raphanus_specimens_all_2025!G:G, [1]Raphanus_specimens_all_2025!A:A, "")</f>
        <v>468994</v>
      </c>
      <c r="B593">
        <v>468994</v>
      </c>
      <c r="C593" t="s">
        <v>359</v>
      </c>
      <c r="D593" t="s">
        <v>413</v>
      </c>
      <c r="E593">
        <v>1932</v>
      </c>
      <c r="F593" t="s">
        <v>417</v>
      </c>
      <c r="G593" t="s">
        <v>369</v>
      </c>
      <c r="H593" t="s">
        <v>333</v>
      </c>
      <c r="I593" t="s">
        <v>418</v>
      </c>
      <c r="J593" t="s">
        <v>415</v>
      </c>
    </row>
    <row r="594" spans="1:10" x14ac:dyDescent="0.2">
      <c r="A594">
        <f>_xlfn.XLOOKUP(D594, [1]Raphanus_specimens_all_2025!G:G, [1]Raphanus_specimens_all_2025!A:A, "")</f>
        <v>468993</v>
      </c>
      <c r="B594">
        <v>468993</v>
      </c>
      <c r="C594" t="s">
        <v>359</v>
      </c>
      <c r="D594" t="s">
        <v>408</v>
      </c>
      <c r="E594">
        <v>1933</v>
      </c>
      <c r="F594" t="s">
        <v>411</v>
      </c>
      <c r="G594" t="s">
        <v>369</v>
      </c>
      <c r="H594" t="s">
        <v>25</v>
      </c>
    </row>
    <row r="595" spans="1:10" x14ac:dyDescent="0.2">
      <c r="A595">
        <f>_xlfn.XLOOKUP(D595, [1]Raphanus_specimens_all_2025!G:G, [1]Raphanus_specimens_all_2025!A:A, "")</f>
        <v>469015</v>
      </c>
      <c r="B595">
        <v>469015</v>
      </c>
      <c r="C595" t="s">
        <v>359</v>
      </c>
      <c r="D595" t="s">
        <v>489</v>
      </c>
      <c r="E595">
        <v>1986</v>
      </c>
      <c r="F595" t="s">
        <v>211</v>
      </c>
      <c r="G595" t="s">
        <v>369</v>
      </c>
      <c r="H595" t="s">
        <v>333</v>
      </c>
    </row>
    <row r="596" spans="1:10" x14ac:dyDescent="0.2">
      <c r="A596">
        <f>_xlfn.XLOOKUP(D596, [1]Raphanus_specimens_all_2025!G:G, [1]Raphanus_specimens_all_2025!A:A, "")</f>
        <v>469072</v>
      </c>
      <c r="B596">
        <v>469072</v>
      </c>
      <c r="C596" t="s">
        <v>359</v>
      </c>
      <c r="D596" t="s">
        <v>416</v>
      </c>
      <c r="E596">
        <v>1990</v>
      </c>
      <c r="F596" t="s">
        <v>417</v>
      </c>
      <c r="G596" t="s">
        <v>369</v>
      </c>
      <c r="H596" t="s">
        <v>421</v>
      </c>
      <c r="I596" t="s">
        <v>420</v>
      </c>
    </row>
    <row r="597" spans="1:10" x14ac:dyDescent="0.2">
      <c r="A597">
        <f>_xlfn.XLOOKUP(D597, [1]Raphanus_specimens_all_2025!G:G, [1]Raphanus_specimens_all_2025!A:A, "")</f>
        <v>469019</v>
      </c>
      <c r="B597">
        <v>469019</v>
      </c>
      <c r="C597" t="s">
        <v>359</v>
      </c>
      <c r="D597" t="s">
        <v>383</v>
      </c>
      <c r="E597">
        <v>1993</v>
      </c>
      <c r="F597" t="s">
        <v>385</v>
      </c>
      <c r="G597" t="s">
        <v>369</v>
      </c>
      <c r="H597" t="s">
        <v>384</v>
      </c>
      <c r="I597" t="s">
        <v>232</v>
      </c>
    </row>
    <row r="598" spans="1:10" x14ac:dyDescent="0.2">
      <c r="A598">
        <f>_xlfn.XLOOKUP(D598, [1]Raphanus_specimens_all_2025!G:G, [1]Raphanus_specimens_all_2025!A:A, "")</f>
        <v>469031</v>
      </c>
      <c r="B598">
        <v>469031</v>
      </c>
      <c r="C598" t="s">
        <v>359</v>
      </c>
      <c r="D598" t="s">
        <v>492</v>
      </c>
      <c r="E598">
        <v>2003</v>
      </c>
      <c r="F598" t="s">
        <v>423</v>
      </c>
      <c r="G598" t="s">
        <v>369</v>
      </c>
      <c r="H598" t="s">
        <v>493</v>
      </c>
    </row>
    <row r="599" spans="1:10" x14ac:dyDescent="0.2">
      <c r="A599">
        <f>_xlfn.XLOOKUP(D599, [1]Raphanus_specimens_all_2025!G:G, [1]Raphanus_specimens_all_2025!A:A, "")</f>
        <v>469062</v>
      </c>
      <c r="B599">
        <v>469062</v>
      </c>
      <c r="C599" t="s">
        <v>359</v>
      </c>
      <c r="D599" t="s">
        <v>382</v>
      </c>
      <c r="E599">
        <v>2004</v>
      </c>
      <c r="F599" t="s">
        <v>336</v>
      </c>
      <c r="G599" t="s">
        <v>369</v>
      </c>
      <c r="H599" t="s">
        <v>94</v>
      </c>
    </row>
    <row r="600" spans="1:10" x14ac:dyDescent="0.2">
      <c r="A600">
        <f>_xlfn.XLOOKUP(D600, [1]Raphanus_specimens_all_2025!G:G, [1]Raphanus_specimens_all_2025!A:A, "")</f>
        <v>469128</v>
      </c>
      <c r="B600">
        <v>469128</v>
      </c>
      <c r="C600" t="s">
        <v>359</v>
      </c>
      <c r="D600" t="s">
        <v>494</v>
      </c>
      <c r="E600">
        <v>2009</v>
      </c>
      <c r="F600" t="s">
        <v>267</v>
      </c>
      <c r="G600" t="s">
        <v>369</v>
      </c>
      <c r="H600" t="s">
        <v>495</v>
      </c>
    </row>
    <row r="601" spans="1:10" x14ac:dyDescent="0.2">
      <c r="A601">
        <f>_xlfn.XLOOKUP(D601, [1]Raphanus_specimens_all_2025!G:G, [1]Raphanus_specimens_all_2025!A:A, "")</f>
        <v>469163</v>
      </c>
      <c r="B601">
        <v>469163</v>
      </c>
      <c r="C601" t="s">
        <v>359</v>
      </c>
      <c r="D601" t="s">
        <v>378</v>
      </c>
      <c r="E601">
        <v>2012</v>
      </c>
      <c r="F601" t="s">
        <v>199</v>
      </c>
      <c r="G601" t="s">
        <v>369</v>
      </c>
      <c r="H601" t="s">
        <v>379</v>
      </c>
      <c r="I601" t="s">
        <v>232</v>
      </c>
    </row>
    <row r="602" spans="1:10" x14ac:dyDescent="0.2">
      <c r="A602">
        <f>_xlfn.XLOOKUP(D602, [1]Raphanus_specimens_all_2025!G:G, [1]Raphanus_specimens_all_2025!A:A, "")</f>
        <v>469140</v>
      </c>
      <c r="B602">
        <v>469140</v>
      </c>
      <c r="C602" t="s">
        <v>359</v>
      </c>
      <c r="D602" t="s">
        <v>438</v>
      </c>
      <c r="E602">
        <v>2012</v>
      </c>
      <c r="F602" t="s">
        <v>310</v>
      </c>
      <c r="G602" t="s">
        <v>369</v>
      </c>
      <c r="H602" t="s">
        <v>441</v>
      </c>
      <c r="I602" t="s">
        <v>442</v>
      </c>
    </row>
    <row r="603" spans="1:10" x14ac:dyDescent="0.2">
      <c r="A603">
        <f>_xlfn.XLOOKUP(D603, [1]Raphanus_specimens_all_2025!G:G, [1]Raphanus_specimens_all_2025!A:A, "")</f>
        <v>469176</v>
      </c>
      <c r="B603">
        <v>469176</v>
      </c>
      <c r="C603" t="s">
        <v>359</v>
      </c>
      <c r="D603" t="s">
        <v>368</v>
      </c>
      <c r="E603">
        <v>2016</v>
      </c>
      <c r="F603" t="s">
        <v>286</v>
      </c>
      <c r="G603" t="s">
        <v>369</v>
      </c>
      <c r="H603" t="s">
        <v>94</v>
      </c>
      <c r="I603" t="s">
        <v>232</v>
      </c>
    </row>
    <row r="604" spans="1:10" x14ac:dyDescent="0.2">
      <c r="A604">
        <f>_xlfn.XLOOKUP(D604, [1]Raphanus_specimens_all_2025!G:G, [1]Raphanus_specimens_all_2025!A:A, "")</f>
        <v>6014478</v>
      </c>
      <c r="B604">
        <v>6014478</v>
      </c>
      <c r="C604" t="s">
        <v>359</v>
      </c>
      <c r="D604" t="s">
        <v>422</v>
      </c>
      <c r="E604">
        <v>2019</v>
      </c>
      <c r="F604" t="s">
        <v>426</v>
      </c>
      <c r="G604" t="s">
        <v>369</v>
      </c>
      <c r="H604" t="s">
        <v>425</v>
      </c>
    </row>
    <row r="605" spans="1:10" x14ac:dyDescent="0.2">
      <c r="A605">
        <f>_xlfn.XLOOKUP(D605, [1]Raphanus_specimens_all_2025!G:G, [1]Raphanus_specimens_all_2025!A:A, "")</f>
        <v>469028</v>
      </c>
      <c r="B605">
        <v>469028</v>
      </c>
      <c r="C605" t="s">
        <v>359</v>
      </c>
      <c r="D605" t="s">
        <v>451</v>
      </c>
      <c r="E605">
        <v>2000</v>
      </c>
      <c r="F605" t="s">
        <v>452</v>
      </c>
      <c r="G605" t="s">
        <v>437</v>
      </c>
      <c r="H605" t="s">
        <v>379</v>
      </c>
      <c r="I605" t="s">
        <v>232</v>
      </c>
    </row>
    <row r="606" spans="1:10" x14ac:dyDescent="0.2">
      <c r="A606">
        <f>_xlfn.XLOOKUP(D606, [1]Raphanus_specimens_all_2025!G:G, [1]Raphanus_specimens_all_2025!A:A, "")</f>
        <v>469038</v>
      </c>
      <c r="B606">
        <v>469038</v>
      </c>
      <c r="C606" t="s">
        <v>359</v>
      </c>
      <c r="D606" t="s">
        <v>479</v>
      </c>
      <c r="E606">
        <v>2003</v>
      </c>
      <c r="F606" t="s">
        <v>481</v>
      </c>
      <c r="G606" t="s">
        <v>437</v>
      </c>
      <c r="H606" t="s">
        <v>480</v>
      </c>
    </row>
    <row r="607" spans="1:10" x14ac:dyDescent="0.2">
      <c r="A607">
        <f>_xlfn.XLOOKUP(D607, [1]Raphanus_specimens_all_2025!G:G, [1]Raphanus_specimens_all_2025!A:A, "")</f>
        <v>469059</v>
      </c>
      <c r="B607">
        <v>469059</v>
      </c>
      <c r="C607" t="s">
        <v>359</v>
      </c>
      <c r="D607" t="s">
        <v>453</v>
      </c>
      <c r="E607">
        <v>2004</v>
      </c>
      <c r="F607" t="s">
        <v>454</v>
      </c>
      <c r="G607" t="s">
        <v>437</v>
      </c>
      <c r="H607" t="s">
        <v>379</v>
      </c>
    </row>
    <row r="608" spans="1:10" x14ac:dyDescent="0.2">
      <c r="A608">
        <f>_xlfn.XLOOKUP(D608, [1]Raphanus_specimens_all_2025!G:G, [1]Raphanus_specimens_all_2025!A:A, "")</f>
        <v>469085</v>
      </c>
      <c r="B608">
        <v>469085</v>
      </c>
      <c r="C608" t="s">
        <v>359</v>
      </c>
      <c r="D608" t="s">
        <v>464</v>
      </c>
      <c r="E608">
        <v>2005</v>
      </c>
      <c r="F608" t="s">
        <v>454</v>
      </c>
      <c r="G608" t="s">
        <v>437</v>
      </c>
      <c r="H608" t="s">
        <v>379</v>
      </c>
      <c r="I608" t="s">
        <v>232</v>
      </c>
    </row>
    <row r="609" spans="1:10" x14ac:dyDescent="0.2">
      <c r="A609">
        <f>_xlfn.XLOOKUP(D609, [1]Raphanus_specimens_all_2025!G:G, [1]Raphanus_specimens_all_2025!A:A, "")</f>
        <v>469119</v>
      </c>
      <c r="B609">
        <v>469119</v>
      </c>
      <c r="C609" t="s">
        <v>359</v>
      </c>
      <c r="D609" t="s">
        <v>433</v>
      </c>
      <c r="E609">
        <v>2008</v>
      </c>
      <c r="F609" t="s">
        <v>440</v>
      </c>
      <c r="G609" t="s">
        <v>437</v>
      </c>
      <c r="H609" t="s">
        <v>436</v>
      </c>
    </row>
    <row r="610" spans="1:10" x14ac:dyDescent="0.2">
      <c r="A610">
        <f>_xlfn.XLOOKUP(D610, [1]Raphanus_specimens_all_2025!G:G, [1]Raphanus_specimens_all_2025!A:A, "")</f>
        <v>469139</v>
      </c>
      <c r="B610">
        <v>469139</v>
      </c>
      <c r="C610" t="s">
        <v>359</v>
      </c>
      <c r="D610" t="s">
        <v>473</v>
      </c>
      <c r="E610">
        <v>2012</v>
      </c>
      <c r="F610" t="s">
        <v>475</v>
      </c>
      <c r="G610" t="s">
        <v>437</v>
      </c>
      <c r="H610" t="s">
        <v>474</v>
      </c>
    </row>
    <row r="611" spans="1:10" x14ac:dyDescent="0.2">
      <c r="A611">
        <f>_xlfn.XLOOKUP(D611, [1]Raphanus_specimens_all_2025!G:G, [1]Raphanus_specimens_all_2025!A:A, "")</f>
        <v>468988</v>
      </c>
      <c r="B611">
        <v>468988</v>
      </c>
      <c r="C611" t="s">
        <v>359</v>
      </c>
      <c r="D611" t="s">
        <v>427</v>
      </c>
      <c r="E611">
        <v>1931</v>
      </c>
      <c r="F611" t="s">
        <v>432</v>
      </c>
      <c r="G611" t="s">
        <v>18</v>
      </c>
      <c r="H611" t="s">
        <v>430</v>
      </c>
      <c r="I611" t="s">
        <v>232</v>
      </c>
    </row>
    <row r="612" spans="1:10" x14ac:dyDescent="0.2">
      <c r="A612">
        <f>_xlfn.XLOOKUP(D612, [1]Raphanus_specimens_all_2025!G:G, [1]Raphanus_specimens_all_2025!A:A, "")</f>
        <v>468973</v>
      </c>
      <c r="B612">
        <v>468973</v>
      </c>
      <c r="C612" t="s">
        <v>359</v>
      </c>
      <c r="D612" t="s">
        <v>470</v>
      </c>
      <c r="E612">
        <v>1936</v>
      </c>
      <c r="F612" t="s">
        <v>472</v>
      </c>
      <c r="G612" t="s">
        <v>18</v>
      </c>
      <c r="H612" t="s">
        <v>471</v>
      </c>
      <c r="I612" t="s">
        <v>232</v>
      </c>
    </row>
    <row r="613" spans="1:10" x14ac:dyDescent="0.2">
      <c r="A613">
        <f>_xlfn.XLOOKUP(D613, [1]Raphanus_specimens_all_2025!G:G, [1]Raphanus_specimens_all_2025!A:A, "")</f>
        <v>469012</v>
      </c>
      <c r="B613">
        <v>469012</v>
      </c>
      <c r="C613" t="s">
        <v>359</v>
      </c>
      <c r="D613" t="s">
        <v>370</v>
      </c>
      <c r="E613">
        <v>1944</v>
      </c>
      <c r="F613" t="s">
        <v>310</v>
      </c>
      <c r="G613" t="s">
        <v>18</v>
      </c>
      <c r="H613" t="s">
        <v>430</v>
      </c>
    </row>
    <row r="614" spans="1:10" x14ac:dyDescent="0.2">
      <c r="A614">
        <f>_xlfn.XLOOKUP(D614, [1]Raphanus_specimens_all_2025!G:G, [1]Raphanus_specimens_all_2025!A:A, "")</f>
        <v>469025</v>
      </c>
      <c r="B614">
        <v>469025</v>
      </c>
      <c r="C614" t="s">
        <v>359</v>
      </c>
      <c r="D614" t="s">
        <v>387</v>
      </c>
      <c r="E614">
        <v>2000</v>
      </c>
      <c r="F614" t="s">
        <v>388</v>
      </c>
      <c r="G614" t="s">
        <v>18</v>
      </c>
      <c r="H614" t="s">
        <v>94</v>
      </c>
      <c r="I614" t="s">
        <v>232</v>
      </c>
    </row>
    <row r="615" spans="1:10" x14ac:dyDescent="0.2">
      <c r="A615">
        <f>_xlfn.XLOOKUP(D615, [1]Raphanus_specimens_all_2025!G:G, [1]Raphanus_specimens_all_2025!A:A, "")</f>
        <v>469058</v>
      </c>
      <c r="B615">
        <v>469058</v>
      </c>
      <c r="C615" t="s">
        <v>359</v>
      </c>
      <c r="D615" t="s">
        <v>386</v>
      </c>
      <c r="E615">
        <v>2004</v>
      </c>
      <c r="F615" t="s">
        <v>298</v>
      </c>
      <c r="G615" t="s">
        <v>18</v>
      </c>
      <c r="H615" t="s">
        <v>353</v>
      </c>
      <c r="I615" t="s">
        <v>232</v>
      </c>
    </row>
    <row r="616" spans="1:10" x14ac:dyDescent="0.2">
      <c r="A616">
        <f>_xlfn.XLOOKUP(D616, [1]Raphanus_specimens_all_2025!G:G, [1]Raphanus_specimens_all_2025!A:A, "")</f>
        <v>469079</v>
      </c>
      <c r="B616">
        <v>469079</v>
      </c>
      <c r="C616" t="s">
        <v>359</v>
      </c>
      <c r="D616" t="s">
        <v>496</v>
      </c>
      <c r="E616">
        <v>2005</v>
      </c>
      <c r="G616" t="s">
        <v>18</v>
      </c>
    </row>
    <row r="617" spans="1:10" x14ac:dyDescent="0.2">
      <c r="A617">
        <f>_xlfn.XLOOKUP(D617, [1]Raphanus_specimens_all_2025!G:G, [1]Raphanus_specimens_all_2025!A:A, "")</f>
        <v>469164</v>
      </c>
      <c r="B617">
        <v>469164</v>
      </c>
      <c r="C617" t="s">
        <v>359</v>
      </c>
      <c r="D617" t="s">
        <v>374</v>
      </c>
      <c r="E617">
        <v>2012</v>
      </c>
      <c r="F617" t="s">
        <v>377</v>
      </c>
      <c r="G617" t="s">
        <v>225</v>
      </c>
      <c r="H617" t="s">
        <v>364</v>
      </c>
    </row>
    <row r="618" spans="1:10" x14ac:dyDescent="0.2">
      <c r="A618">
        <f>_xlfn.XLOOKUP(D618, [1]Raphanus_specimens_all_2025!G:G, [1]Raphanus_specimens_all_2025!A:A, "")</f>
        <v>468998</v>
      </c>
      <c r="B618">
        <v>468998</v>
      </c>
      <c r="C618" t="s">
        <v>359</v>
      </c>
      <c r="D618" t="s">
        <v>395</v>
      </c>
      <c r="E618">
        <v>1932</v>
      </c>
      <c r="F618" t="s">
        <v>398</v>
      </c>
      <c r="G618" t="s">
        <v>396</v>
      </c>
      <c r="H618" t="s">
        <v>397</v>
      </c>
      <c r="I618" t="s">
        <v>402</v>
      </c>
    </row>
    <row r="619" spans="1:10" x14ac:dyDescent="0.2">
      <c r="A619">
        <f>_xlfn.XLOOKUP(D619, [1]Raphanus_specimens_all_2025!G:G, [1]Raphanus_specimens_all_2025!A:A, "")</f>
        <v>3737681</v>
      </c>
      <c r="B619">
        <v>3737681</v>
      </c>
      <c r="C619" t="s">
        <v>359</v>
      </c>
      <c r="D619" t="s">
        <v>391</v>
      </c>
      <c r="E619">
        <v>1936</v>
      </c>
      <c r="F619" t="s">
        <v>394</v>
      </c>
      <c r="G619" t="s">
        <v>393</v>
      </c>
      <c r="H619" t="s">
        <v>392</v>
      </c>
      <c r="I619" t="s">
        <v>232</v>
      </c>
    </row>
    <row r="620" spans="1:10" x14ac:dyDescent="0.2">
      <c r="A620">
        <f>_xlfn.XLOOKUP(D620, [1]Raphanus_specimens_all_2025!G:G, [1]Raphanus_specimens_all_2025!A:A, "")</f>
        <v>469105</v>
      </c>
      <c r="B620">
        <v>469105</v>
      </c>
      <c r="C620" t="s">
        <v>359</v>
      </c>
      <c r="D620" t="s">
        <v>360</v>
      </c>
      <c r="E620">
        <v>2006</v>
      </c>
      <c r="F620" t="s">
        <v>363</v>
      </c>
      <c r="G620" t="s">
        <v>361</v>
      </c>
      <c r="H620" t="s">
        <v>364</v>
      </c>
      <c r="I620" t="s">
        <v>362</v>
      </c>
    </row>
    <row r="621" spans="1:10" x14ac:dyDescent="0.2">
      <c r="A621">
        <f>_xlfn.XLOOKUP(D621, [1]Raphanus_specimens_all_2025!G:G, [1]Raphanus_specimens_all_2025!A:A, "")</f>
        <v>469160</v>
      </c>
      <c r="B621">
        <v>469160</v>
      </c>
      <c r="C621" t="s">
        <v>359</v>
      </c>
      <c r="D621" t="s">
        <v>380</v>
      </c>
      <c r="E621">
        <v>2012</v>
      </c>
      <c r="F621" t="s">
        <v>377</v>
      </c>
      <c r="G621" t="s">
        <v>361</v>
      </c>
      <c r="H621" t="s">
        <v>439</v>
      </c>
      <c r="J621" t="s">
        <v>381</v>
      </c>
    </row>
    <row r="622" spans="1:10" x14ac:dyDescent="0.2">
      <c r="A622">
        <f>_xlfn.XLOOKUP(D622, [1]Raphanus_specimens_all_2025!G:G, [1]Raphanus_specimens_all_2025!A:A, "")</f>
        <v>376201</v>
      </c>
      <c r="B622">
        <v>376201</v>
      </c>
      <c r="C622" t="s">
        <v>219</v>
      </c>
      <c r="D622" t="s">
        <v>233</v>
      </c>
      <c r="E622">
        <v>1962</v>
      </c>
      <c r="F622" t="s">
        <v>234</v>
      </c>
      <c r="G622" t="s">
        <v>110</v>
      </c>
      <c r="H622" t="s">
        <v>235</v>
      </c>
    </row>
    <row r="623" spans="1:10" x14ac:dyDescent="0.2">
      <c r="A623">
        <f>_xlfn.XLOOKUP(D623, [1]Raphanus_specimens_all_2025!G:G, [1]Raphanus_specimens_all_2025!A:A, "")</f>
        <v>375693</v>
      </c>
      <c r="B623">
        <v>375693</v>
      </c>
      <c r="C623" t="s">
        <v>219</v>
      </c>
      <c r="D623" t="s">
        <v>238</v>
      </c>
      <c r="E623">
        <v>1964</v>
      </c>
      <c r="F623" t="s">
        <v>240</v>
      </c>
      <c r="G623" t="s">
        <v>110</v>
      </c>
      <c r="H623" t="s">
        <v>241</v>
      </c>
      <c r="I623" t="s">
        <v>242</v>
      </c>
    </row>
    <row r="624" spans="1:10" x14ac:dyDescent="0.2">
      <c r="A624">
        <f>_xlfn.XLOOKUP(D624, [1]Raphanus_specimens_all_2025!G:G, [1]Raphanus_specimens_all_2025!A:A, "")</f>
        <v>375689</v>
      </c>
      <c r="B624">
        <v>375689</v>
      </c>
      <c r="C624" t="s">
        <v>219</v>
      </c>
      <c r="D624" t="s">
        <v>220</v>
      </c>
      <c r="E624">
        <v>1969</v>
      </c>
      <c r="F624" t="s">
        <v>222</v>
      </c>
      <c r="G624" t="s">
        <v>110</v>
      </c>
      <c r="H624" t="s">
        <v>221</v>
      </c>
    </row>
    <row r="625" spans="1:10" x14ac:dyDescent="0.2">
      <c r="A625">
        <f>_xlfn.XLOOKUP(D625, [1]Raphanus_specimens_all_2025!G:G, [1]Raphanus_specimens_all_2025!A:A, "")</f>
        <v>375714</v>
      </c>
      <c r="B625">
        <v>375714</v>
      </c>
      <c r="C625" t="s">
        <v>219</v>
      </c>
      <c r="D625" t="s">
        <v>260</v>
      </c>
      <c r="E625">
        <v>1951</v>
      </c>
      <c r="F625" t="s">
        <v>259</v>
      </c>
      <c r="G625" t="s">
        <v>11</v>
      </c>
      <c r="H625" t="s">
        <v>209</v>
      </c>
      <c r="I625" t="s">
        <v>232</v>
      </c>
      <c r="J625" t="s">
        <v>256</v>
      </c>
    </row>
    <row r="626" spans="1:10" x14ac:dyDescent="0.2">
      <c r="A626">
        <f>_xlfn.XLOOKUP(D626, [1]Raphanus_specimens_all_2025!G:G, [1]Raphanus_specimens_all_2025!A:A, "")</f>
        <v>375726</v>
      </c>
      <c r="B626">
        <v>375726</v>
      </c>
      <c r="C626" t="s">
        <v>219</v>
      </c>
      <c r="D626" t="s">
        <v>261</v>
      </c>
      <c r="E626">
        <v>1951</v>
      </c>
      <c r="F626" t="s">
        <v>262</v>
      </c>
      <c r="G626" t="s">
        <v>11</v>
      </c>
      <c r="H626" t="s">
        <v>258</v>
      </c>
      <c r="I626" t="s">
        <v>232</v>
      </c>
    </row>
    <row r="627" spans="1:10" x14ac:dyDescent="0.2">
      <c r="A627">
        <f>_xlfn.XLOOKUP(D627, [1]Raphanus_specimens_all_2025!G:G, [1]Raphanus_specimens_all_2025!A:A, "")</f>
        <v>375694</v>
      </c>
      <c r="B627">
        <v>375694</v>
      </c>
      <c r="C627" t="s">
        <v>219</v>
      </c>
      <c r="D627" t="s">
        <v>243</v>
      </c>
      <c r="E627">
        <v>1965</v>
      </c>
      <c r="F627" t="s">
        <v>239</v>
      </c>
      <c r="G627" t="s">
        <v>11</v>
      </c>
      <c r="H627" t="s">
        <v>235</v>
      </c>
    </row>
    <row r="628" spans="1:10" x14ac:dyDescent="0.2">
      <c r="A628">
        <f>_xlfn.XLOOKUP(D628, [1]Raphanus_specimens_all_2025!G:G, [1]Raphanus_specimens_all_2025!A:A, "")</f>
        <v>394122</v>
      </c>
      <c r="B628">
        <v>394122</v>
      </c>
      <c r="C628" t="s">
        <v>219</v>
      </c>
      <c r="D628" t="s">
        <v>273</v>
      </c>
      <c r="E628">
        <v>2012</v>
      </c>
      <c r="F628" t="s">
        <v>274</v>
      </c>
      <c r="G628" t="s">
        <v>11</v>
      </c>
      <c r="H628" t="s">
        <v>235</v>
      </c>
    </row>
    <row r="629" spans="1:10" x14ac:dyDescent="0.2">
      <c r="A629">
        <f>_xlfn.XLOOKUP(D629, [1]Raphanus_specimens_all_2025!G:G, [1]Raphanus_specimens_all_2025!A:A, "")</f>
        <v>394165</v>
      </c>
      <c r="B629">
        <v>394165</v>
      </c>
      <c r="C629" t="s">
        <v>219</v>
      </c>
      <c r="D629" t="s">
        <v>276</v>
      </c>
      <c r="E629">
        <v>2012</v>
      </c>
      <c r="F629" t="s">
        <v>274</v>
      </c>
      <c r="G629" t="s">
        <v>11</v>
      </c>
      <c r="H629" t="s">
        <v>209</v>
      </c>
      <c r="I629" t="s">
        <v>277</v>
      </c>
      <c r="J629" t="s">
        <v>275</v>
      </c>
    </row>
    <row r="630" spans="1:10" x14ac:dyDescent="0.2">
      <c r="A630">
        <f>_xlfn.XLOOKUP(D630, [1]Raphanus_specimens_all_2025!G:G, [1]Raphanus_specimens_all_2025!A:A, "")</f>
        <v>395628</v>
      </c>
      <c r="B630">
        <v>395628</v>
      </c>
      <c r="C630" t="s">
        <v>219</v>
      </c>
      <c r="D630" t="s">
        <v>278</v>
      </c>
      <c r="E630">
        <v>2016</v>
      </c>
      <c r="F630" t="s">
        <v>272</v>
      </c>
      <c r="G630" t="s">
        <v>11</v>
      </c>
      <c r="H630" t="s">
        <v>209</v>
      </c>
      <c r="I630" t="s">
        <v>232</v>
      </c>
    </row>
    <row r="631" spans="1:10" x14ac:dyDescent="0.2">
      <c r="A631">
        <f>_xlfn.XLOOKUP(D631, [1]Raphanus_specimens_all_2025!G:G, [1]Raphanus_specimens_all_2025!A:A, "")</f>
        <v>375698</v>
      </c>
      <c r="B631">
        <v>375698</v>
      </c>
      <c r="C631" t="s">
        <v>219</v>
      </c>
      <c r="D631" t="s">
        <v>247</v>
      </c>
      <c r="E631">
        <v>1927</v>
      </c>
      <c r="F631" t="s">
        <v>246</v>
      </c>
      <c r="G631" t="s">
        <v>18</v>
      </c>
      <c r="H631" t="s">
        <v>209</v>
      </c>
      <c r="I631" t="s">
        <v>248</v>
      </c>
    </row>
    <row r="632" spans="1:10" x14ac:dyDescent="0.2">
      <c r="A632">
        <f>_xlfn.XLOOKUP(D632, [1]Raphanus_specimens_all_2025!G:G, [1]Raphanus_specimens_all_2025!A:A, "")</f>
        <v>375699</v>
      </c>
      <c r="B632">
        <v>375699</v>
      </c>
      <c r="C632" t="s">
        <v>219</v>
      </c>
      <c r="D632" t="s">
        <v>249</v>
      </c>
      <c r="E632">
        <v>1962</v>
      </c>
      <c r="F632" t="s">
        <v>246</v>
      </c>
      <c r="G632" t="s">
        <v>18</v>
      </c>
      <c r="H632" t="s">
        <v>209</v>
      </c>
      <c r="I632" t="s">
        <v>250</v>
      </c>
    </row>
    <row r="633" spans="1:10" x14ac:dyDescent="0.2">
      <c r="A633">
        <f>_xlfn.XLOOKUP(D633, [1]Raphanus_specimens_all_2025!G:G, [1]Raphanus_specimens_all_2025!A:A, "")</f>
        <v>375700</v>
      </c>
      <c r="B633">
        <v>375700</v>
      </c>
      <c r="C633" t="s">
        <v>219</v>
      </c>
      <c r="D633" t="s">
        <v>251</v>
      </c>
      <c r="E633">
        <v>1962</v>
      </c>
      <c r="F633" t="s">
        <v>246</v>
      </c>
      <c r="G633" t="s">
        <v>18</v>
      </c>
      <c r="H633" t="s">
        <v>209</v>
      </c>
      <c r="I633" t="s">
        <v>232</v>
      </c>
    </row>
    <row r="634" spans="1:10" x14ac:dyDescent="0.2">
      <c r="A634">
        <f>_xlfn.XLOOKUP(D634, [1]Raphanus_specimens_all_2025!G:G, [1]Raphanus_specimens_all_2025!A:A, "")</f>
        <v>375702</v>
      </c>
      <c r="B634">
        <v>375702</v>
      </c>
      <c r="C634" t="s">
        <v>219</v>
      </c>
      <c r="D634" t="s">
        <v>257</v>
      </c>
      <c r="E634">
        <v>1962</v>
      </c>
      <c r="F634" t="s">
        <v>259</v>
      </c>
      <c r="G634" t="s">
        <v>18</v>
      </c>
      <c r="H634" t="s">
        <v>258</v>
      </c>
      <c r="I634" t="s">
        <v>232</v>
      </c>
      <c r="J634" t="s">
        <v>256</v>
      </c>
    </row>
    <row r="635" spans="1:10" x14ac:dyDescent="0.2">
      <c r="A635">
        <f>_xlfn.XLOOKUP(D635, [1]Raphanus_specimens_all_2025!G:G, [1]Raphanus_specimens_all_2025!A:A, "")</f>
        <v>375696</v>
      </c>
      <c r="B635">
        <v>375696</v>
      </c>
      <c r="C635" t="s">
        <v>219</v>
      </c>
      <c r="D635" t="s">
        <v>229</v>
      </c>
      <c r="E635">
        <v>1966</v>
      </c>
      <c r="F635" t="s">
        <v>231</v>
      </c>
      <c r="G635" t="s">
        <v>18</v>
      </c>
      <c r="H635" t="s">
        <v>230</v>
      </c>
      <c r="I635" t="s">
        <v>232</v>
      </c>
    </row>
    <row r="636" spans="1:10" x14ac:dyDescent="0.2">
      <c r="A636">
        <f>_xlfn.XLOOKUP(D636, [1]Raphanus_specimens_all_2025!G:G, [1]Raphanus_specimens_all_2025!A:A, "")</f>
        <v>375697</v>
      </c>
      <c r="B636">
        <v>375697</v>
      </c>
      <c r="C636" t="s">
        <v>219</v>
      </c>
      <c r="D636" t="s">
        <v>245</v>
      </c>
      <c r="E636">
        <v>1969</v>
      </c>
      <c r="F636" t="s">
        <v>246</v>
      </c>
      <c r="G636" t="s">
        <v>18</v>
      </c>
      <c r="H636" t="s">
        <v>244</v>
      </c>
      <c r="I636" t="s">
        <v>232</v>
      </c>
    </row>
    <row r="637" spans="1:10" x14ac:dyDescent="0.2">
      <c r="A637">
        <f>_xlfn.XLOOKUP(D637, [1]Raphanus_specimens_all_2025!G:G, [1]Raphanus_specimens_all_2025!A:A, "")</f>
        <v>3753225</v>
      </c>
      <c r="B637">
        <v>3753225</v>
      </c>
      <c r="C637" t="s">
        <v>219</v>
      </c>
      <c r="D637" t="s">
        <v>266</v>
      </c>
      <c r="E637">
        <v>2000</v>
      </c>
      <c r="F637" t="s">
        <v>267</v>
      </c>
      <c r="G637" t="s">
        <v>18</v>
      </c>
      <c r="H637" t="s">
        <v>209</v>
      </c>
    </row>
    <row r="638" spans="1:10" x14ac:dyDescent="0.2">
      <c r="A638">
        <f>_xlfn.XLOOKUP(D638, [1]Raphanus_specimens_all_2025!G:G, [1]Raphanus_specimens_all_2025!A:A, "")</f>
        <v>389892</v>
      </c>
      <c r="B638">
        <v>389892</v>
      </c>
      <c r="C638" t="s">
        <v>219</v>
      </c>
      <c r="D638" t="s">
        <v>268</v>
      </c>
      <c r="E638">
        <v>2003</v>
      </c>
      <c r="F638" t="s">
        <v>267</v>
      </c>
      <c r="G638" t="s">
        <v>18</v>
      </c>
      <c r="H638" t="s">
        <v>235</v>
      </c>
      <c r="J638" t="s">
        <v>269</v>
      </c>
    </row>
    <row r="639" spans="1:10" x14ac:dyDescent="0.2">
      <c r="A639">
        <f>_xlfn.XLOOKUP(D639, [1]Raphanus_specimens_all_2025!G:G, [1]Raphanus_specimens_all_2025!A:A, "")</f>
        <v>393682</v>
      </c>
      <c r="B639">
        <v>393682</v>
      </c>
      <c r="C639" t="s">
        <v>219</v>
      </c>
      <c r="D639" t="s">
        <v>271</v>
      </c>
      <c r="E639">
        <v>2010</v>
      </c>
      <c r="F639" t="s">
        <v>272</v>
      </c>
      <c r="G639" t="s">
        <v>18</v>
      </c>
      <c r="H639" t="s">
        <v>253</v>
      </c>
      <c r="I639" t="s">
        <v>232</v>
      </c>
      <c r="J639" t="s">
        <v>270</v>
      </c>
    </row>
    <row r="640" spans="1:10" x14ac:dyDescent="0.2">
      <c r="A640">
        <f>_xlfn.XLOOKUP(D640, [1]Raphanus_specimens_all_2025!G:G, [1]Raphanus_specimens_all_2025!A:A, "")</f>
        <v>375695</v>
      </c>
      <c r="B640">
        <v>375695</v>
      </c>
      <c r="C640" t="s">
        <v>219</v>
      </c>
      <c r="D640" t="s">
        <v>223</v>
      </c>
      <c r="E640">
        <v>1966</v>
      </c>
      <c r="F640" t="s">
        <v>224</v>
      </c>
      <c r="G640" t="s">
        <v>225</v>
      </c>
      <c r="H640" t="s">
        <v>226</v>
      </c>
      <c r="I640" t="s">
        <v>227</v>
      </c>
      <c r="J640" t="s">
        <v>228</v>
      </c>
    </row>
    <row r="641" spans="1:9" x14ac:dyDescent="0.2">
      <c r="A641">
        <f>_xlfn.XLOOKUP(D641, [1]Raphanus_specimens_all_2025!G:G, [1]Raphanus_specimens_all_2025!A:A, "")</f>
        <v>5549192</v>
      </c>
      <c r="B641">
        <v>5549192</v>
      </c>
      <c r="C641" t="s">
        <v>219</v>
      </c>
      <c r="D641" t="s">
        <v>263</v>
      </c>
      <c r="E641">
        <v>2021</v>
      </c>
      <c r="F641" t="s">
        <v>264</v>
      </c>
      <c r="G641" t="s">
        <v>225</v>
      </c>
      <c r="H641" t="s">
        <v>209</v>
      </c>
      <c r="I641" s="7" t="s">
        <v>265</v>
      </c>
    </row>
    <row r="642" spans="1:9" x14ac:dyDescent="0.2">
      <c r="A642">
        <f>_xlfn.XLOOKUP(D642, [1]Raphanus_specimens_all_2025!G:G, [1]Raphanus_specimens_all_2025!A:A, "")</f>
        <v>375708</v>
      </c>
      <c r="B642">
        <v>375708</v>
      </c>
      <c r="C642" t="s">
        <v>219</v>
      </c>
      <c r="D642" t="s">
        <v>252</v>
      </c>
      <c r="E642">
        <v>1952</v>
      </c>
      <c r="F642" t="s">
        <v>254</v>
      </c>
      <c r="G642" t="s">
        <v>34</v>
      </c>
      <c r="H642" t="s">
        <v>253</v>
      </c>
      <c r="I642" t="s">
        <v>255</v>
      </c>
    </row>
    <row r="643" spans="1:9" x14ac:dyDescent="0.2">
      <c r="A643">
        <f>_xlfn.XLOOKUP(D643, [1]Raphanus_specimens_all_2025!G:G, [1]Raphanus_specimens_all_2025!A:A, "")</f>
        <v>375692</v>
      </c>
      <c r="B643">
        <v>375692</v>
      </c>
      <c r="C643" t="s">
        <v>219</v>
      </c>
      <c r="D643" t="s">
        <v>236</v>
      </c>
      <c r="E643">
        <v>1963</v>
      </c>
      <c r="F643" t="s">
        <v>239</v>
      </c>
      <c r="G643" t="s">
        <v>34</v>
      </c>
      <c r="H643" t="s">
        <v>237</v>
      </c>
    </row>
    <row r="644" spans="1:9" x14ac:dyDescent="0.2">
      <c r="A644">
        <f>_xlfn.XLOOKUP(D644, [1]Raphanus_specimens_all_2025!G:G, [1]Raphanus_specimens_all_2025!A:A, "")</f>
        <v>3525429</v>
      </c>
      <c r="B644">
        <v>3525429</v>
      </c>
      <c r="C644" t="s">
        <v>497</v>
      </c>
      <c r="D644" s="8" t="s">
        <v>595</v>
      </c>
      <c r="E644">
        <v>1935</v>
      </c>
      <c r="F644" t="s">
        <v>440</v>
      </c>
      <c r="G644" t="s">
        <v>110</v>
      </c>
      <c r="H644" t="s">
        <v>25</v>
      </c>
      <c r="I644" t="s">
        <v>599</v>
      </c>
    </row>
    <row r="645" spans="1:9" x14ac:dyDescent="0.2">
      <c r="A645">
        <f>_xlfn.XLOOKUP(D645, [1]Raphanus_specimens_all_2025!G:G, [1]Raphanus_specimens_all_2025!A:A, "")</f>
        <v>3476616</v>
      </c>
      <c r="B645">
        <v>3476616</v>
      </c>
      <c r="C645" t="s">
        <v>497</v>
      </c>
      <c r="D645" s="8" t="s">
        <v>644</v>
      </c>
      <c r="E645">
        <v>1951</v>
      </c>
      <c r="F645" t="s">
        <v>647</v>
      </c>
      <c r="G645" t="s">
        <v>110</v>
      </c>
      <c r="H645" t="s">
        <v>78</v>
      </c>
    </row>
    <row r="646" spans="1:9" x14ac:dyDescent="0.2">
      <c r="A646" t="s">
        <v>1270</v>
      </c>
      <c r="B646" t="s">
        <v>845</v>
      </c>
      <c r="C646" t="s">
        <v>497</v>
      </c>
      <c r="D646" s="8" t="s">
        <v>604</v>
      </c>
      <c r="E646">
        <v>1893</v>
      </c>
      <c r="F646" t="s">
        <v>608</v>
      </c>
      <c r="G646" t="s">
        <v>11</v>
      </c>
      <c r="H646" t="s">
        <v>25</v>
      </c>
      <c r="I646" t="s">
        <v>609</v>
      </c>
    </row>
    <row r="647" spans="1:9" x14ac:dyDescent="0.2">
      <c r="A647">
        <f>_xlfn.XLOOKUP(D647, [1]Raphanus_specimens_all_2025!G:G, [1]Raphanus_specimens_all_2025!A:A, "")</f>
        <v>3366602</v>
      </c>
      <c r="B647">
        <v>3366602</v>
      </c>
      <c r="C647" t="s">
        <v>497</v>
      </c>
      <c r="D647" s="8" t="s">
        <v>637</v>
      </c>
      <c r="E647">
        <v>1893</v>
      </c>
      <c r="F647" t="s">
        <v>440</v>
      </c>
      <c r="G647" t="s">
        <v>11</v>
      </c>
      <c r="H647" t="s">
        <v>524</v>
      </c>
    </row>
    <row r="648" spans="1:9" x14ac:dyDescent="0.2">
      <c r="A648">
        <f>_xlfn.XLOOKUP(D648, [1]Raphanus_specimens_all_2025!G:G, [1]Raphanus_specimens_all_2025!A:A, "")</f>
        <v>3511149</v>
      </c>
      <c r="B648">
        <v>3511149</v>
      </c>
      <c r="C648" t="s">
        <v>497</v>
      </c>
      <c r="D648" s="8" t="s">
        <v>521</v>
      </c>
      <c r="E648">
        <v>1897</v>
      </c>
      <c r="F648" t="s">
        <v>529</v>
      </c>
      <c r="G648" t="s">
        <v>11</v>
      </c>
      <c r="H648" t="s">
        <v>25</v>
      </c>
    </row>
    <row r="649" spans="1:9" x14ac:dyDescent="0.2">
      <c r="A649">
        <f>_xlfn.XLOOKUP(D649, [1]Raphanus_specimens_all_2025!G:G, [1]Raphanus_specimens_all_2025!A:A, "")</f>
        <v>3308798</v>
      </c>
      <c r="B649">
        <v>3308798</v>
      </c>
      <c r="C649" t="s">
        <v>497</v>
      </c>
      <c r="D649" s="8" t="s">
        <v>645</v>
      </c>
      <c r="E649">
        <v>1897</v>
      </c>
      <c r="F649" t="s">
        <v>650</v>
      </c>
      <c r="G649" t="s">
        <v>11</v>
      </c>
      <c r="H649" t="s">
        <v>649</v>
      </c>
      <c r="I649" t="s">
        <v>418</v>
      </c>
    </row>
    <row r="650" spans="1:9" x14ac:dyDescent="0.2">
      <c r="A650">
        <f>_xlfn.XLOOKUP(D650, [1]Raphanus_specimens_all_2025!G:G, [1]Raphanus_specimens_all_2025!A:A, "")</f>
        <v>3317219</v>
      </c>
      <c r="B650">
        <v>3317219</v>
      </c>
      <c r="C650" t="s">
        <v>497</v>
      </c>
      <c r="D650" s="8" t="s">
        <v>513</v>
      </c>
      <c r="E650">
        <v>1901</v>
      </c>
      <c r="F650" t="s">
        <v>523</v>
      </c>
      <c r="G650" t="s">
        <v>11</v>
      </c>
      <c r="H650" t="s">
        <v>524</v>
      </c>
      <c r="I650" t="s">
        <v>522</v>
      </c>
    </row>
    <row r="651" spans="1:9" x14ac:dyDescent="0.2">
      <c r="A651">
        <f>_xlfn.XLOOKUP(D651, [1]Raphanus_specimens_all_2025!G:G, [1]Raphanus_specimens_all_2025!A:A, "")</f>
        <v>3322372</v>
      </c>
      <c r="B651">
        <v>3322372</v>
      </c>
      <c r="C651" t="s">
        <v>497</v>
      </c>
      <c r="D651" s="8" t="s">
        <v>642</v>
      </c>
      <c r="E651">
        <v>1901</v>
      </c>
      <c r="F651" t="s">
        <v>340</v>
      </c>
      <c r="G651" t="s">
        <v>11</v>
      </c>
      <c r="H651" t="s">
        <v>524</v>
      </c>
      <c r="I651" t="s">
        <v>418</v>
      </c>
    </row>
    <row r="652" spans="1:9" x14ac:dyDescent="0.2">
      <c r="A652">
        <f>_xlfn.XLOOKUP(D652, [1]Raphanus_specimens_all_2025!G:G, [1]Raphanus_specimens_all_2025!A:A, "")</f>
        <v>3212192</v>
      </c>
      <c r="B652">
        <v>3212192</v>
      </c>
      <c r="C652" t="s">
        <v>497</v>
      </c>
      <c r="D652" s="8" t="s">
        <v>612</v>
      </c>
      <c r="E652">
        <v>1902</v>
      </c>
      <c r="F652" t="s">
        <v>377</v>
      </c>
      <c r="G652" t="s">
        <v>11</v>
      </c>
      <c r="H652" t="s">
        <v>25</v>
      </c>
      <c r="I652" t="s">
        <v>418</v>
      </c>
    </row>
    <row r="653" spans="1:9" x14ac:dyDescent="0.2">
      <c r="A653">
        <f>_xlfn.XLOOKUP(D653, [1]Raphanus_specimens_all_2025!G:G, [1]Raphanus_specimens_all_2025!A:A, "")</f>
        <v>3382838</v>
      </c>
      <c r="B653">
        <v>3382838</v>
      </c>
      <c r="C653" t="s">
        <v>497</v>
      </c>
      <c r="D653" s="8" t="s">
        <v>614</v>
      </c>
      <c r="E653">
        <v>1902</v>
      </c>
      <c r="F653" t="s">
        <v>286</v>
      </c>
      <c r="G653" t="s">
        <v>11</v>
      </c>
      <c r="H653" t="s">
        <v>97</v>
      </c>
      <c r="I653" t="s">
        <v>617</v>
      </c>
    </row>
    <row r="654" spans="1:9" x14ac:dyDescent="0.2">
      <c r="A654">
        <f>_xlfn.XLOOKUP(D654, [1]Raphanus_specimens_all_2025!G:G, [1]Raphanus_specimens_all_2025!A:A, "")</f>
        <v>3542265</v>
      </c>
      <c r="B654">
        <v>3542265</v>
      </c>
      <c r="C654" t="s">
        <v>497</v>
      </c>
      <c r="D654" s="8" t="s">
        <v>629</v>
      </c>
      <c r="E654">
        <v>1904</v>
      </c>
      <c r="F654" t="s">
        <v>633</v>
      </c>
      <c r="G654" t="s">
        <v>11</v>
      </c>
      <c r="H654" t="s">
        <v>25</v>
      </c>
      <c r="I654" t="s">
        <v>418</v>
      </c>
    </row>
    <row r="655" spans="1:9" x14ac:dyDescent="0.2">
      <c r="A655">
        <f>_xlfn.XLOOKUP(D655, [1]Raphanus_specimens_all_2025!G:G, [1]Raphanus_specimens_all_2025!A:A, "")</f>
        <v>3468200</v>
      </c>
      <c r="B655">
        <v>3468200</v>
      </c>
      <c r="C655" t="s">
        <v>497</v>
      </c>
      <c r="D655" s="8" t="s">
        <v>592</v>
      </c>
      <c r="E655">
        <v>1906</v>
      </c>
      <c r="F655" t="s">
        <v>598</v>
      </c>
      <c r="G655" t="s">
        <v>11</v>
      </c>
      <c r="H655" t="s">
        <v>25</v>
      </c>
    </row>
    <row r="656" spans="1:9" x14ac:dyDescent="0.2">
      <c r="A656">
        <f>_xlfn.XLOOKUP(D656, [1]Raphanus_specimens_all_2025!G:G, [1]Raphanus_specimens_all_2025!A:A, "")</f>
        <v>3499442</v>
      </c>
      <c r="B656">
        <v>3499442</v>
      </c>
      <c r="C656" t="s">
        <v>497</v>
      </c>
      <c r="D656" s="8" t="s">
        <v>528</v>
      </c>
      <c r="E656">
        <v>1927</v>
      </c>
      <c r="F656" t="s">
        <v>534</v>
      </c>
      <c r="G656" t="s">
        <v>11</v>
      </c>
      <c r="H656" t="s">
        <v>25</v>
      </c>
      <c r="I656" t="s">
        <v>450</v>
      </c>
    </row>
    <row r="657" spans="1:10" x14ac:dyDescent="0.2">
      <c r="A657">
        <f>_xlfn.XLOOKUP(D657, [1]Raphanus_specimens_all_2025!G:G, [1]Raphanus_specimens_all_2025!A:A, "")</f>
        <v>3260290</v>
      </c>
      <c r="B657">
        <v>3260290</v>
      </c>
      <c r="C657" t="s">
        <v>497</v>
      </c>
      <c r="D657" s="8" t="s">
        <v>616</v>
      </c>
      <c r="E657">
        <v>1930</v>
      </c>
      <c r="F657" t="s">
        <v>291</v>
      </c>
      <c r="G657" t="s">
        <v>11</v>
      </c>
      <c r="H657" t="s">
        <v>25</v>
      </c>
    </row>
    <row r="658" spans="1:10" x14ac:dyDescent="0.2">
      <c r="A658">
        <f>_xlfn.XLOOKUP(D658, [1]Raphanus_specimens_all_2025!G:G, [1]Raphanus_specimens_all_2025!A:A, "")</f>
        <v>3334730</v>
      </c>
      <c r="B658">
        <v>3334730</v>
      </c>
      <c r="C658" t="s">
        <v>497</v>
      </c>
      <c r="D658" s="8" t="s">
        <v>618</v>
      </c>
      <c r="E658">
        <v>1930</v>
      </c>
      <c r="F658" t="s">
        <v>310</v>
      </c>
      <c r="G658" t="s">
        <v>11</v>
      </c>
      <c r="H658" t="s">
        <v>25</v>
      </c>
    </row>
    <row r="659" spans="1:10" x14ac:dyDescent="0.2">
      <c r="A659">
        <f>_xlfn.XLOOKUP(D659, [1]Raphanus_specimens_all_2025!G:G, [1]Raphanus_specimens_all_2025!A:A, "")</f>
        <v>3358215</v>
      </c>
      <c r="B659">
        <v>3358215</v>
      </c>
      <c r="C659" t="s">
        <v>497</v>
      </c>
      <c r="D659" s="8" t="s">
        <v>627</v>
      </c>
      <c r="E659">
        <v>1932</v>
      </c>
      <c r="F659" t="s">
        <v>310</v>
      </c>
      <c r="G659" t="s">
        <v>11</v>
      </c>
      <c r="H659" t="s">
        <v>566</v>
      </c>
      <c r="I659" t="s">
        <v>631</v>
      </c>
    </row>
    <row r="660" spans="1:10" x14ac:dyDescent="0.2">
      <c r="A660">
        <f>_xlfn.XLOOKUP(D660, [1]Raphanus_specimens_all_2025!G:G, [1]Raphanus_specimens_all_2025!A:A, "")</f>
        <v>3272683</v>
      </c>
      <c r="B660">
        <v>3272683</v>
      </c>
      <c r="C660" t="s">
        <v>497</v>
      </c>
      <c r="D660" s="8" t="s">
        <v>632</v>
      </c>
      <c r="E660">
        <v>1932</v>
      </c>
      <c r="F660" t="s">
        <v>298</v>
      </c>
      <c r="G660" t="s">
        <v>11</v>
      </c>
      <c r="H660" t="s">
        <v>78</v>
      </c>
    </row>
    <row r="661" spans="1:10" x14ac:dyDescent="0.2">
      <c r="A661">
        <f>_xlfn.XLOOKUP(D661, [1]Raphanus_specimens_all_2025!G:G, [1]Raphanus_specimens_all_2025!A:A, "")</f>
        <v>3462399</v>
      </c>
      <c r="B661">
        <v>3462399</v>
      </c>
      <c r="C661" t="s">
        <v>497</v>
      </c>
      <c r="D661" t="s">
        <v>498</v>
      </c>
      <c r="E661">
        <v>1935</v>
      </c>
      <c r="F661" t="s">
        <v>501</v>
      </c>
      <c r="G661" t="s">
        <v>11</v>
      </c>
      <c r="H661" t="s">
        <v>500</v>
      </c>
    </row>
    <row r="662" spans="1:10" x14ac:dyDescent="0.2">
      <c r="A662">
        <f>_xlfn.XLOOKUP(D662, [1]Raphanus_specimens_all_2025!G:G, [1]Raphanus_specimens_all_2025!A:A, "")</f>
        <v>3262100</v>
      </c>
      <c r="B662">
        <v>3262100</v>
      </c>
      <c r="C662" t="s">
        <v>497</v>
      </c>
      <c r="D662" s="8" t="s">
        <v>552</v>
      </c>
      <c r="E662">
        <v>1935</v>
      </c>
      <c r="F662" t="s">
        <v>286</v>
      </c>
      <c r="G662" t="s">
        <v>11</v>
      </c>
      <c r="H662" t="s">
        <v>558</v>
      </c>
    </row>
    <row r="663" spans="1:10" x14ac:dyDescent="0.2">
      <c r="A663">
        <f>_xlfn.XLOOKUP(D663, [1]Raphanus_specimens_all_2025!G:G, [1]Raphanus_specimens_all_2025!A:A, "")</f>
        <v>3335398</v>
      </c>
      <c r="B663">
        <v>3335398</v>
      </c>
      <c r="C663" t="s">
        <v>497</v>
      </c>
      <c r="D663" s="8" t="s">
        <v>589</v>
      </c>
      <c r="E663">
        <v>1935</v>
      </c>
      <c r="F663" t="s">
        <v>310</v>
      </c>
      <c r="G663" t="s">
        <v>11</v>
      </c>
      <c r="H663" t="s">
        <v>25</v>
      </c>
    </row>
    <row r="664" spans="1:10" x14ac:dyDescent="0.2">
      <c r="A664">
        <f>_xlfn.XLOOKUP(D664, [1]Raphanus_specimens_all_2025!G:G, [1]Raphanus_specimens_all_2025!A:A, "")</f>
        <v>3523645</v>
      </c>
      <c r="B664">
        <v>3523645</v>
      </c>
      <c r="C664" t="s">
        <v>497</v>
      </c>
      <c r="D664" s="8" t="s">
        <v>517</v>
      </c>
      <c r="E664">
        <v>1936</v>
      </c>
      <c r="F664" t="s">
        <v>527</v>
      </c>
      <c r="G664" t="s">
        <v>11</v>
      </c>
      <c r="H664" t="s">
        <v>509</v>
      </c>
      <c r="I664" t="s">
        <v>526</v>
      </c>
    </row>
    <row r="665" spans="1:10" x14ac:dyDescent="0.2">
      <c r="A665">
        <f>_xlfn.XLOOKUP(D665, [1]Raphanus_specimens_all_2025!G:G, [1]Raphanus_specimens_all_2025!A:A, "")</f>
        <v>3183749</v>
      </c>
      <c r="B665">
        <v>3183749</v>
      </c>
      <c r="C665" t="s">
        <v>497</v>
      </c>
      <c r="D665" s="8" t="s">
        <v>548</v>
      </c>
      <c r="E665">
        <v>1936</v>
      </c>
      <c r="F665" t="s">
        <v>554</v>
      </c>
      <c r="G665" t="s">
        <v>11</v>
      </c>
      <c r="H665" t="s">
        <v>553</v>
      </c>
      <c r="J665" t="s">
        <v>551</v>
      </c>
    </row>
    <row r="666" spans="1:10" x14ac:dyDescent="0.2">
      <c r="A666">
        <f>_xlfn.XLOOKUP(D666, [1]Raphanus_specimens_all_2025!G:G, [1]Raphanus_specimens_all_2025!A:A, "")</f>
        <v>3489238</v>
      </c>
      <c r="B666">
        <v>3489238</v>
      </c>
      <c r="C666" t="s">
        <v>497</v>
      </c>
      <c r="D666" s="8" t="s">
        <v>564</v>
      </c>
      <c r="E666">
        <v>1936</v>
      </c>
      <c r="F666" t="s">
        <v>569</v>
      </c>
      <c r="G666" t="s">
        <v>11</v>
      </c>
      <c r="H666" t="s">
        <v>553</v>
      </c>
    </row>
    <row r="667" spans="1:10" x14ac:dyDescent="0.2">
      <c r="A667">
        <f>_xlfn.XLOOKUP(D667, [1]Raphanus_specimens_all_2025!G:G, [1]Raphanus_specimens_all_2025!A:A, "")</f>
        <v>3293792</v>
      </c>
      <c r="B667">
        <v>3293792</v>
      </c>
      <c r="C667" t="s">
        <v>497</v>
      </c>
      <c r="D667" s="8" t="s">
        <v>584</v>
      </c>
      <c r="E667">
        <v>1936</v>
      </c>
      <c r="F667" t="s">
        <v>587</v>
      </c>
      <c r="G667" t="s">
        <v>11</v>
      </c>
      <c r="H667" t="s">
        <v>25</v>
      </c>
    </row>
    <row r="668" spans="1:10" x14ac:dyDescent="0.2">
      <c r="A668">
        <f>_xlfn.XLOOKUP(D668, [1]Raphanus_specimens_all_2025!G:G, [1]Raphanus_specimens_all_2025!A:A, "")</f>
        <v>3281522</v>
      </c>
      <c r="B668">
        <v>3281522</v>
      </c>
      <c r="C668" t="s">
        <v>497</v>
      </c>
      <c r="D668" s="8" t="s">
        <v>654</v>
      </c>
      <c r="E668">
        <v>1936</v>
      </c>
      <c r="F668" t="s">
        <v>286</v>
      </c>
      <c r="G668" t="s">
        <v>11</v>
      </c>
      <c r="H668" t="s">
        <v>78</v>
      </c>
    </row>
    <row r="669" spans="1:10" x14ac:dyDescent="0.2">
      <c r="A669">
        <f>_xlfn.XLOOKUP(D669, [1]Raphanus_specimens_all_2025!G:G, [1]Raphanus_specimens_all_2025!A:A, "")</f>
        <v>3232355</v>
      </c>
      <c r="B669">
        <v>3232355</v>
      </c>
      <c r="C669" t="s">
        <v>497</v>
      </c>
      <c r="D669" s="8" t="s">
        <v>597</v>
      </c>
      <c r="E669">
        <v>1937</v>
      </c>
      <c r="F669" t="s">
        <v>594</v>
      </c>
      <c r="G669" t="s">
        <v>11</v>
      </c>
      <c r="H669" t="s">
        <v>25</v>
      </c>
    </row>
    <row r="670" spans="1:10" x14ac:dyDescent="0.2">
      <c r="A670">
        <f>_xlfn.XLOOKUP(D670, [1]Raphanus_specimens_all_2025!G:G, [1]Raphanus_specimens_all_2025!A:A, "")</f>
        <v>3386031</v>
      </c>
      <c r="B670">
        <v>3386031</v>
      </c>
      <c r="C670" t="s">
        <v>497</v>
      </c>
      <c r="D670" s="8" t="s">
        <v>581</v>
      </c>
      <c r="E670">
        <v>1958</v>
      </c>
      <c r="F670" t="s">
        <v>574</v>
      </c>
      <c r="G670" t="s">
        <v>11</v>
      </c>
      <c r="H670" t="s">
        <v>25</v>
      </c>
    </row>
    <row r="671" spans="1:10" x14ac:dyDescent="0.2">
      <c r="A671">
        <f>_xlfn.XLOOKUP(D671, [1]Raphanus_specimens_all_2025!G:G, [1]Raphanus_specimens_all_2025!A:A, "")</f>
        <v>3292668</v>
      </c>
      <c r="B671">
        <v>3292668</v>
      </c>
      <c r="C671" t="s">
        <v>497</v>
      </c>
      <c r="D671" s="8" t="s">
        <v>506</v>
      </c>
      <c r="E671">
        <v>1961</v>
      </c>
      <c r="F671" t="s">
        <v>310</v>
      </c>
      <c r="G671" t="s">
        <v>11</v>
      </c>
      <c r="H671" t="s">
        <v>306</v>
      </c>
    </row>
    <row r="672" spans="1:10" x14ac:dyDescent="0.2">
      <c r="A672">
        <f>_xlfn.XLOOKUP(D672, [1]Raphanus_specimens_all_2025!G:G, [1]Raphanus_specimens_all_2025!A:A, "")</f>
        <v>3414522</v>
      </c>
      <c r="B672">
        <v>3414522</v>
      </c>
      <c r="C672" t="s">
        <v>497</v>
      </c>
      <c r="D672" s="8" t="s">
        <v>511</v>
      </c>
      <c r="E672">
        <v>1961</v>
      </c>
      <c r="F672" t="s">
        <v>519</v>
      </c>
      <c r="G672" t="s">
        <v>11</v>
      </c>
      <c r="H672" t="s">
        <v>520</v>
      </c>
      <c r="I672" t="s">
        <v>518</v>
      </c>
    </row>
    <row r="673" spans="1:10" x14ac:dyDescent="0.2">
      <c r="A673">
        <f>_xlfn.XLOOKUP(D673, [1]Raphanus_specimens_all_2025!G:G, [1]Raphanus_specimens_all_2025!A:A, "")</f>
        <v>3425410</v>
      </c>
      <c r="B673">
        <v>3425410</v>
      </c>
      <c r="C673" t="s">
        <v>497</v>
      </c>
      <c r="D673" s="8" t="s">
        <v>530</v>
      </c>
      <c r="E673">
        <v>1973</v>
      </c>
      <c r="F673" t="s">
        <v>537</v>
      </c>
      <c r="G673" t="s">
        <v>11</v>
      </c>
      <c r="H673" t="s">
        <v>538</v>
      </c>
      <c r="I673" t="s">
        <v>536</v>
      </c>
    </row>
    <row r="674" spans="1:10" x14ac:dyDescent="0.2">
      <c r="A674">
        <f>_xlfn.XLOOKUP(D674, [1]Raphanus_specimens_all_2025!G:G, [1]Raphanus_specimens_all_2025!A:A, "")</f>
        <v>3503027</v>
      </c>
      <c r="B674">
        <v>3503027</v>
      </c>
      <c r="C674" t="s">
        <v>497</v>
      </c>
      <c r="D674" s="8" t="s">
        <v>573</v>
      </c>
      <c r="E674">
        <v>1991</v>
      </c>
      <c r="F674" t="s">
        <v>503</v>
      </c>
      <c r="G674" t="s">
        <v>11</v>
      </c>
      <c r="H674" t="s">
        <v>577</v>
      </c>
    </row>
    <row r="675" spans="1:10" x14ac:dyDescent="0.2">
      <c r="A675">
        <f>_xlfn.XLOOKUP(D675, [1]Raphanus_specimens_all_2025!G:G, [1]Raphanus_specimens_all_2025!A:A, "")</f>
        <v>3278418</v>
      </c>
      <c r="B675">
        <v>3278418</v>
      </c>
      <c r="C675" t="s">
        <v>497</v>
      </c>
      <c r="D675" s="8" t="s">
        <v>542</v>
      </c>
      <c r="E675">
        <v>1996</v>
      </c>
      <c r="F675" t="s">
        <v>286</v>
      </c>
      <c r="G675" t="s">
        <v>11</v>
      </c>
      <c r="H675" t="s">
        <v>550</v>
      </c>
    </row>
    <row r="676" spans="1:10" x14ac:dyDescent="0.2">
      <c r="A676">
        <f>_xlfn.XLOOKUP(D676, [1]Raphanus_specimens_all_2025!G:G, [1]Raphanus_specimens_all_2025!A:A, "")</f>
        <v>3373130</v>
      </c>
      <c r="B676">
        <v>3373130</v>
      </c>
      <c r="C676" t="s">
        <v>497</v>
      </c>
      <c r="D676" s="8" t="s">
        <v>535</v>
      </c>
      <c r="E676">
        <v>1998</v>
      </c>
      <c r="F676" t="s">
        <v>545</v>
      </c>
      <c r="G676" t="s">
        <v>11</v>
      </c>
      <c r="H676" t="s">
        <v>543</v>
      </c>
      <c r="I676" t="s">
        <v>544</v>
      </c>
    </row>
    <row r="677" spans="1:10" x14ac:dyDescent="0.2">
      <c r="A677">
        <f>_xlfn.XLOOKUP(D677, [1]Raphanus_specimens_all_2025!G:G, [1]Raphanus_specimens_all_2025!A:A, "")</f>
        <v>3544281</v>
      </c>
      <c r="B677">
        <v>3544281</v>
      </c>
      <c r="C677" t="s">
        <v>497</v>
      </c>
      <c r="D677" s="8" t="s">
        <v>557</v>
      </c>
      <c r="E677">
        <v>1998</v>
      </c>
      <c r="F677" t="s">
        <v>563</v>
      </c>
      <c r="G677" t="s">
        <v>11</v>
      </c>
      <c r="H677" t="s">
        <v>543</v>
      </c>
    </row>
    <row r="678" spans="1:10" x14ac:dyDescent="0.2">
      <c r="A678">
        <f>_xlfn.XLOOKUP(D678, [1]Raphanus_specimens_all_2025!G:G, [1]Raphanus_specimens_all_2025!A:A, "")</f>
        <v>3275642</v>
      </c>
      <c r="B678">
        <v>3275642</v>
      </c>
      <c r="C678" t="s">
        <v>497</v>
      </c>
      <c r="D678" s="8" t="s">
        <v>562</v>
      </c>
      <c r="E678">
        <v>1998</v>
      </c>
      <c r="F678" t="s">
        <v>568</v>
      </c>
      <c r="G678" t="s">
        <v>11</v>
      </c>
      <c r="H678" t="s">
        <v>566</v>
      </c>
      <c r="I678" t="s">
        <v>567</v>
      </c>
    </row>
    <row r="679" spans="1:10" x14ac:dyDescent="0.2">
      <c r="A679">
        <f>_xlfn.XLOOKUP(D679, [1]Raphanus_specimens_all_2025!G:G, [1]Raphanus_specimens_all_2025!A:A, "")</f>
        <v>3400832</v>
      </c>
      <c r="B679">
        <v>3400832</v>
      </c>
      <c r="C679" t="s">
        <v>497</v>
      </c>
      <c r="D679" s="8" t="s">
        <v>525</v>
      </c>
      <c r="E679">
        <v>2004</v>
      </c>
      <c r="F679" t="s">
        <v>531</v>
      </c>
      <c r="G679" t="s">
        <v>11</v>
      </c>
      <c r="H679" t="s">
        <v>532</v>
      </c>
    </row>
    <row r="680" spans="1:10" x14ac:dyDescent="0.2">
      <c r="A680">
        <f>_xlfn.XLOOKUP(D680, [1]Raphanus_specimens_all_2025!G:G, [1]Raphanus_specimens_all_2025!A:A, "")</f>
        <v>3349335</v>
      </c>
      <c r="B680">
        <v>3349335</v>
      </c>
      <c r="C680" t="s">
        <v>497</v>
      </c>
      <c r="D680" s="8" t="s">
        <v>539</v>
      </c>
      <c r="E680">
        <v>2016</v>
      </c>
      <c r="F680" t="s">
        <v>310</v>
      </c>
      <c r="G680" t="s">
        <v>11</v>
      </c>
      <c r="H680" t="s">
        <v>306</v>
      </c>
      <c r="I680" t="s">
        <v>547</v>
      </c>
      <c r="J680" t="s">
        <v>546</v>
      </c>
    </row>
    <row r="681" spans="1:10" x14ac:dyDescent="0.2">
      <c r="A681">
        <f>_xlfn.XLOOKUP(D681, [1]Raphanus_specimens_all_2025!G:G, [1]Raphanus_specimens_all_2025!A:A, "")</f>
        <v>5509705</v>
      </c>
      <c r="B681">
        <v>5509705</v>
      </c>
      <c r="C681" t="s">
        <v>497</v>
      </c>
      <c r="D681" s="8" t="s">
        <v>664</v>
      </c>
      <c r="E681">
        <v>2016</v>
      </c>
      <c r="F681" t="s">
        <v>656</v>
      </c>
      <c r="G681" t="s">
        <v>668</v>
      </c>
      <c r="H681" t="s">
        <v>441</v>
      </c>
      <c r="I681" t="s">
        <v>667</v>
      </c>
    </row>
    <row r="682" spans="1:10" x14ac:dyDescent="0.2">
      <c r="A682">
        <f>_xlfn.XLOOKUP(D682, [1]Raphanus_specimens_all_2025!G:G, [1]Raphanus_specimens_all_2025!A:A, "")</f>
        <v>3351467</v>
      </c>
      <c r="B682">
        <v>3351467</v>
      </c>
      <c r="C682" t="s">
        <v>497</v>
      </c>
      <c r="D682" s="8" t="s">
        <v>502</v>
      </c>
      <c r="E682">
        <v>1884</v>
      </c>
      <c r="F682" t="s">
        <v>505</v>
      </c>
      <c r="G682" t="s">
        <v>369</v>
      </c>
      <c r="H682" t="s">
        <v>25</v>
      </c>
      <c r="I682" t="s">
        <v>232</v>
      </c>
    </row>
    <row r="683" spans="1:10" x14ac:dyDescent="0.2">
      <c r="A683">
        <f>_xlfn.XLOOKUP(D683, [1]Raphanus_specimens_all_2025!G:G, [1]Raphanus_specimens_all_2025!A:A, "")</f>
        <v>3464512</v>
      </c>
      <c r="B683">
        <v>3464512</v>
      </c>
      <c r="C683" t="s">
        <v>497</v>
      </c>
      <c r="D683" s="8" t="s">
        <v>658</v>
      </c>
      <c r="E683">
        <v>1900</v>
      </c>
      <c r="F683" t="s">
        <v>377</v>
      </c>
      <c r="G683" t="s">
        <v>369</v>
      </c>
      <c r="H683" t="s">
        <v>85</v>
      </c>
      <c r="I683" t="s">
        <v>666</v>
      </c>
      <c r="J683" t="s">
        <v>665</v>
      </c>
    </row>
    <row r="684" spans="1:10" x14ac:dyDescent="0.2">
      <c r="A684">
        <f>_xlfn.XLOOKUP(D684, [1]Raphanus_specimens_all_2025!G:G, [1]Raphanus_specimens_all_2025!A:A, "")</f>
        <v>3245328</v>
      </c>
      <c r="B684">
        <v>3245328</v>
      </c>
      <c r="C684" t="s">
        <v>497</v>
      </c>
      <c r="D684" s="8" t="s">
        <v>570</v>
      </c>
      <c r="E684">
        <v>1902</v>
      </c>
      <c r="F684" t="s">
        <v>366</v>
      </c>
      <c r="G684" t="s">
        <v>369</v>
      </c>
      <c r="H684" t="s">
        <v>25</v>
      </c>
    </row>
    <row r="685" spans="1:10" x14ac:dyDescent="0.2">
      <c r="A685">
        <f>_xlfn.XLOOKUP(D685, [1]Raphanus_specimens_all_2025!G:G, [1]Raphanus_specimens_all_2025!A:A, "")</f>
        <v>3306212</v>
      </c>
      <c r="B685">
        <v>3306212</v>
      </c>
      <c r="C685" t="s">
        <v>497</v>
      </c>
      <c r="D685" s="8" t="s">
        <v>648</v>
      </c>
      <c r="E685">
        <v>1935</v>
      </c>
      <c r="F685" t="s">
        <v>529</v>
      </c>
      <c r="G685" t="s">
        <v>369</v>
      </c>
      <c r="H685" t="s">
        <v>25</v>
      </c>
    </row>
    <row r="686" spans="1:10" x14ac:dyDescent="0.2">
      <c r="A686">
        <f>_xlfn.XLOOKUP(D686, [1]Raphanus_specimens_all_2025!G:G, [1]Raphanus_specimens_all_2025!A:A, "")</f>
        <v>3270997</v>
      </c>
      <c r="B686">
        <v>3270997</v>
      </c>
      <c r="C686" t="s">
        <v>497</v>
      </c>
      <c r="D686" s="8" t="s">
        <v>636</v>
      </c>
      <c r="E686">
        <v>1991</v>
      </c>
      <c r="F686" t="s">
        <v>594</v>
      </c>
      <c r="G686" t="s">
        <v>369</v>
      </c>
      <c r="H686" t="s">
        <v>641</v>
      </c>
      <c r="I686" t="s">
        <v>639</v>
      </c>
    </row>
    <row r="687" spans="1:10" x14ac:dyDescent="0.2">
      <c r="A687">
        <f>_xlfn.XLOOKUP(D687, [1]Raphanus_specimens_all_2025!G:G, [1]Raphanus_specimens_all_2025!A:A, "")</f>
        <v>3483502</v>
      </c>
      <c r="B687">
        <v>3483502</v>
      </c>
      <c r="C687" t="s">
        <v>497</v>
      </c>
      <c r="D687" s="8" t="s">
        <v>559</v>
      </c>
      <c r="E687">
        <v>1998</v>
      </c>
      <c r="F687" t="s">
        <v>565</v>
      </c>
      <c r="G687" t="s">
        <v>369</v>
      </c>
      <c r="H687" t="s">
        <v>566</v>
      </c>
    </row>
    <row r="688" spans="1:10" x14ac:dyDescent="0.2">
      <c r="A688">
        <f>_xlfn.XLOOKUP(D688, [1]Raphanus_specimens_all_2025!G:G, [1]Raphanus_specimens_all_2025!A:A, "")</f>
        <v>3366934</v>
      </c>
      <c r="B688">
        <v>3366934</v>
      </c>
      <c r="C688" t="s">
        <v>497</v>
      </c>
      <c r="D688" s="8" t="s">
        <v>630</v>
      </c>
      <c r="E688">
        <v>1935</v>
      </c>
      <c r="F688" t="s">
        <v>634</v>
      </c>
      <c r="G688" t="s">
        <v>583</v>
      </c>
      <c r="H688" t="s">
        <v>635</v>
      </c>
      <c r="I688" t="s">
        <v>232</v>
      </c>
    </row>
    <row r="689" spans="1:10" x14ac:dyDescent="0.2">
      <c r="A689">
        <f>_xlfn.XLOOKUP(D689, [1]Raphanus_specimens_all_2025!G:G, [1]Raphanus_specimens_all_2025!A:A, "")</f>
        <v>3239401</v>
      </c>
      <c r="B689">
        <v>3239401</v>
      </c>
      <c r="C689" t="s">
        <v>497</v>
      </c>
      <c r="D689" s="8" t="s">
        <v>580</v>
      </c>
      <c r="E689">
        <v>1998</v>
      </c>
      <c r="F689" t="s">
        <v>310</v>
      </c>
      <c r="G689" t="s">
        <v>583</v>
      </c>
      <c r="H689" t="s">
        <v>532</v>
      </c>
    </row>
    <row r="690" spans="1:10" x14ac:dyDescent="0.2">
      <c r="A690">
        <f>_xlfn.XLOOKUP(D690, [1]Raphanus_specimens_all_2025!G:G, [1]Raphanus_specimens_all_2025!A:A, "")</f>
        <v>3257939</v>
      </c>
      <c r="B690">
        <v>3257939</v>
      </c>
      <c r="C690" t="s">
        <v>497</v>
      </c>
      <c r="D690" s="8" t="s">
        <v>655</v>
      </c>
      <c r="E690">
        <v>1906</v>
      </c>
      <c r="F690" t="s">
        <v>659</v>
      </c>
      <c r="G690" t="s">
        <v>18</v>
      </c>
      <c r="H690" t="s">
        <v>662</v>
      </c>
      <c r="I690" t="s">
        <v>661</v>
      </c>
      <c r="J690" t="s">
        <v>660</v>
      </c>
    </row>
    <row r="691" spans="1:10" x14ac:dyDescent="0.2">
      <c r="A691">
        <f>_xlfn.XLOOKUP(D691, [1]Raphanus_specimens_all_2025!G:G, [1]Raphanus_specimens_all_2025!A:A, "")</f>
        <v>3224405</v>
      </c>
      <c r="B691">
        <v>3224405</v>
      </c>
      <c r="C691" t="s">
        <v>497</v>
      </c>
      <c r="D691" s="8" t="s">
        <v>575</v>
      </c>
      <c r="E691">
        <v>1932</v>
      </c>
      <c r="F691" t="s">
        <v>286</v>
      </c>
      <c r="G691" t="s">
        <v>18</v>
      </c>
      <c r="H691" t="s">
        <v>25</v>
      </c>
    </row>
    <row r="692" spans="1:10" x14ac:dyDescent="0.2">
      <c r="A692">
        <f>_xlfn.XLOOKUP(D692, [1]Raphanus_specimens_all_2025!G:G, [1]Raphanus_specimens_all_2025!A:A, "")</f>
        <v>3379131</v>
      </c>
      <c r="B692">
        <v>3379131</v>
      </c>
      <c r="C692" t="s">
        <v>497</v>
      </c>
      <c r="D692" s="8" t="s">
        <v>620</v>
      </c>
      <c r="E692">
        <v>1934</v>
      </c>
      <c r="F692" t="s">
        <v>623</v>
      </c>
      <c r="G692" t="s">
        <v>18</v>
      </c>
      <c r="H692" t="s">
        <v>553</v>
      </c>
    </row>
    <row r="693" spans="1:10" x14ac:dyDescent="0.2">
      <c r="A693">
        <f>_xlfn.XLOOKUP(D693, [1]Raphanus_specimens_all_2025!G:G, [1]Raphanus_specimens_all_2025!A:A, "")</f>
        <v>3550026</v>
      </c>
      <c r="B693">
        <v>3550026</v>
      </c>
      <c r="C693" t="s">
        <v>497</v>
      </c>
      <c r="D693" s="8" t="s">
        <v>653</v>
      </c>
      <c r="E693">
        <v>1934</v>
      </c>
      <c r="F693" t="s">
        <v>656</v>
      </c>
      <c r="G693" t="s">
        <v>18</v>
      </c>
      <c r="H693" t="s">
        <v>85</v>
      </c>
    </row>
    <row r="694" spans="1:10" x14ac:dyDescent="0.2">
      <c r="A694">
        <f>_xlfn.XLOOKUP(D694, [1]Raphanus_specimens_all_2025!G:G, [1]Raphanus_specimens_all_2025!A:A, "")</f>
        <v>3562157</v>
      </c>
      <c r="B694">
        <v>3562157</v>
      </c>
      <c r="C694" t="s">
        <v>497</v>
      </c>
      <c r="D694" s="8" t="s">
        <v>600</v>
      </c>
      <c r="E694">
        <v>1935</v>
      </c>
      <c r="F694" t="s">
        <v>605</v>
      </c>
      <c r="G694" t="s">
        <v>18</v>
      </c>
      <c r="H694" t="s">
        <v>25</v>
      </c>
    </row>
    <row r="695" spans="1:10" x14ac:dyDescent="0.2">
      <c r="A695">
        <f>_xlfn.XLOOKUP(D695, [1]Raphanus_specimens_all_2025!G:G, [1]Raphanus_specimens_all_2025!A:A, "")</f>
        <v>3444193</v>
      </c>
      <c r="B695">
        <v>3444193</v>
      </c>
      <c r="C695" t="s">
        <v>497</v>
      </c>
      <c r="D695" s="8" t="s">
        <v>640</v>
      </c>
      <c r="E695">
        <v>1935</v>
      </c>
      <c r="F695" t="s">
        <v>286</v>
      </c>
      <c r="G695" t="s">
        <v>18</v>
      </c>
      <c r="H695" t="s">
        <v>550</v>
      </c>
      <c r="I695" t="s">
        <v>418</v>
      </c>
    </row>
    <row r="696" spans="1:10" x14ac:dyDescent="0.2">
      <c r="A696">
        <f>_xlfn.XLOOKUP(D696, [1]Raphanus_specimens_all_2025!G:G, [1]Raphanus_specimens_all_2025!A:A, "")</f>
        <v>3534929</v>
      </c>
      <c r="B696">
        <v>3534929</v>
      </c>
      <c r="C696" t="s">
        <v>497</v>
      </c>
      <c r="D696" s="8" t="s">
        <v>533</v>
      </c>
      <c r="E696">
        <v>1936</v>
      </c>
      <c r="F696" t="s">
        <v>540</v>
      </c>
      <c r="G696" t="s">
        <v>18</v>
      </c>
      <c r="H696" t="s">
        <v>541</v>
      </c>
    </row>
    <row r="697" spans="1:10" x14ac:dyDescent="0.2">
      <c r="A697">
        <f>_xlfn.XLOOKUP(D697, [1]Raphanus_specimens_all_2025!G:G, [1]Raphanus_specimens_all_2025!A:A, "")</f>
        <v>3310288</v>
      </c>
      <c r="B697">
        <v>3310288</v>
      </c>
      <c r="C697" t="s">
        <v>497</v>
      </c>
      <c r="D697" s="8" t="s">
        <v>615</v>
      </c>
      <c r="E697">
        <v>1936</v>
      </c>
      <c r="F697" t="s">
        <v>294</v>
      </c>
      <c r="G697" t="s">
        <v>18</v>
      </c>
      <c r="H697" t="s">
        <v>619</v>
      </c>
    </row>
    <row r="698" spans="1:10" x14ac:dyDescent="0.2">
      <c r="A698">
        <f>_xlfn.XLOOKUP(D698, [1]Raphanus_specimens_all_2025!G:G, [1]Raphanus_specimens_all_2025!A:A, "")</f>
        <v>3477178</v>
      </c>
      <c r="B698">
        <v>3477178</v>
      </c>
      <c r="C698" t="s">
        <v>497</v>
      </c>
      <c r="D698" s="8" t="s">
        <v>571</v>
      </c>
      <c r="E698">
        <v>1937</v>
      </c>
      <c r="F698" t="s">
        <v>574</v>
      </c>
      <c r="G698" t="s">
        <v>18</v>
      </c>
      <c r="H698" t="s">
        <v>25</v>
      </c>
      <c r="I698" t="s">
        <v>572</v>
      </c>
    </row>
    <row r="699" spans="1:10" x14ac:dyDescent="0.2">
      <c r="A699">
        <f>_xlfn.XLOOKUP(D699, [1]Raphanus_specimens_all_2025!G:G, [1]Raphanus_specimens_all_2025!A:A, "")</f>
        <v>3286045</v>
      </c>
      <c r="B699">
        <v>3286045</v>
      </c>
      <c r="C699" t="s">
        <v>497</v>
      </c>
      <c r="D699" s="8" t="s">
        <v>578</v>
      </c>
      <c r="E699">
        <v>1943</v>
      </c>
      <c r="F699" t="s">
        <v>582</v>
      </c>
      <c r="G699" t="s">
        <v>18</v>
      </c>
      <c r="H699" t="s">
        <v>25</v>
      </c>
      <c r="I699" t="s">
        <v>232</v>
      </c>
    </row>
    <row r="700" spans="1:10" x14ac:dyDescent="0.2">
      <c r="A700">
        <f>_xlfn.XLOOKUP(D700, [1]Raphanus_specimens_all_2025!G:G, [1]Raphanus_specimens_all_2025!A:A, "")</f>
        <v>3498289</v>
      </c>
      <c r="B700">
        <v>3498289</v>
      </c>
      <c r="C700" t="s">
        <v>497</v>
      </c>
      <c r="D700" s="8" t="s">
        <v>507</v>
      </c>
      <c r="E700">
        <v>1951</v>
      </c>
      <c r="F700" t="s">
        <v>512</v>
      </c>
      <c r="G700" t="s">
        <v>18</v>
      </c>
      <c r="H700" t="s">
        <v>97</v>
      </c>
      <c r="I700" t="s">
        <v>232</v>
      </c>
    </row>
    <row r="701" spans="1:10" x14ac:dyDescent="0.2">
      <c r="A701">
        <f>_xlfn.XLOOKUP(D701, [1]Raphanus_specimens_all_2025!G:G, [1]Raphanus_specimens_all_2025!A:A, "")</f>
        <v>3428915</v>
      </c>
      <c r="B701">
        <v>3428915</v>
      </c>
      <c r="C701" t="s">
        <v>497</v>
      </c>
      <c r="D701" s="8" t="s">
        <v>652</v>
      </c>
      <c r="E701">
        <v>1966</v>
      </c>
      <c r="F701" t="s">
        <v>294</v>
      </c>
      <c r="G701" t="s">
        <v>18</v>
      </c>
      <c r="H701" t="s">
        <v>78</v>
      </c>
    </row>
    <row r="702" spans="1:10" x14ac:dyDescent="0.2">
      <c r="A702">
        <f>_xlfn.XLOOKUP(D702, [1]Raphanus_specimens_all_2025!G:G, [1]Raphanus_specimens_all_2025!A:A, "")</f>
        <v>3324477</v>
      </c>
      <c r="B702">
        <v>3324477</v>
      </c>
      <c r="C702" t="s">
        <v>497</v>
      </c>
      <c r="D702" s="8" t="s">
        <v>555</v>
      </c>
      <c r="E702">
        <v>1997</v>
      </c>
      <c r="F702" t="s">
        <v>560</v>
      </c>
      <c r="G702" t="s">
        <v>18</v>
      </c>
      <c r="H702" t="s">
        <v>561</v>
      </c>
    </row>
    <row r="703" spans="1:10" x14ac:dyDescent="0.2">
      <c r="A703">
        <f>_xlfn.XLOOKUP(D703, [1]Raphanus_specimens_all_2025!G:G, [1]Raphanus_specimens_all_2025!A:A, "")</f>
        <v>3209072</v>
      </c>
      <c r="B703">
        <v>3209072</v>
      </c>
      <c r="C703" t="s">
        <v>497</v>
      </c>
      <c r="D703" s="8" t="s">
        <v>624</v>
      </c>
      <c r="E703">
        <v>1897</v>
      </c>
      <c r="F703" t="s">
        <v>560</v>
      </c>
      <c r="G703" t="s">
        <v>611</v>
      </c>
      <c r="H703" t="s">
        <v>628</v>
      </c>
    </row>
    <row r="704" spans="1:10" x14ac:dyDescent="0.2">
      <c r="A704">
        <f>_xlfn.XLOOKUP(D704, [1]Raphanus_specimens_all_2025!G:G, [1]Raphanus_specimens_all_2025!A:A, "")</f>
        <v>3430357</v>
      </c>
      <c r="B704">
        <v>3430357</v>
      </c>
      <c r="C704" t="s">
        <v>497</v>
      </c>
      <c r="D704" s="8" t="s">
        <v>625</v>
      </c>
      <c r="E704">
        <v>1914</v>
      </c>
      <c r="F704" t="s">
        <v>294</v>
      </c>
      <c r="G704" t="s">
        <v>611</v>
      </c>
      <c r="H704" t="s">
        <v>25</v>
      </c>
    </row>
    <row r="705" spans="1:10" x14ac:dyDescent="0.2">
      <c r="A705">
        <f>_xlfn.XLOOKUP(D705, [1]Raphanus_specimens_all_2025!G:G, [1]Raphanus_specimens_all_2025!A:A, "")</f>
        <v>3492727</v>
      </c>
      <c r="B705">
        <v>3492727</v>
      </c>
      <c r="C705" t="s">
        <v>497</v>
      </c>
      <c r="D705" s="8" t="s">
        <v>657</v>
      </c>
      <c r="E705">
        <v>1933</v>
      </c>
      <c r="F705" t="s">
        <v>310</v>
      </c>
      <c r="G705" t="s">
        <v>611</v>
      </c>
      <c r="H705" t="s">
        <v>566</v>
      </c>
      <c r="I705" t="s">
        <v>663</v>
      </c>
    </row>
    <row r="706" spans="1:10" x14ac:dyDescent="0.2">
      <c r="A706">
        <f>_xlfn.XLOOKUP(D706, [1]Raphanus_specimens_all_2025!G:G, [1]Raphanus_specimens_all_2025!A:A, "")</f>
        <v>3514143</v>
      </c>
      <c r="B706">
        <v>3514143</v>
      </c>
      <c r="C706" t="s">
        <v>497</v>
      </c>
      <c r="D706" s="8" t="s">
        <v>622</v>
      </c>
      <c r="E706">
        <v>1953</v>
      </c>
      <c r="F706" t="s">
        <v>310</v>
      </c>
      <c r="G706" t="s">
        <v>611</v>
      </c>
      <c r="H706" t="s">
        <v>626</v>
      </c>
    </row>
    <row r="707" spans="1:10" x14ac:dyDescent="0.2">
      <c r="A707">
        <f>_xlfn.XLOOKUP(D707, [1]Raphanus_specimens_all_2025!G:G, [1]Raphanus_specimens_all_2025!A:A, "")</f>
        <v>5509708</v>
      </c>
      <c r="B707">
        <v>5509708</v>
      </c>
      <c r="C707" t="s">
        <v>497</v>
      </c>
      <c r="D707" s="8" t="s">
        <v>606</v>
      </c>
      <c r="E707">
        <v>1971</v>
      </c>
      <c r="F707" t="s">
        <v>613</v>
      </c>
      <c r="G707" t="s">
        <v>611</v>
      </c>
      <c r="H707" t="s">
        <v>333</v>
      </c>
      <c r="I707" t="s">
        <v>418</v>
      </c>
    </row>
    <row r="708" spans="1:10" x14ac:dyDescent="0.2">
      <c r="A708">
        <f>_xlfn.XLOOKUP(D708, [1]Raphanus_specimens_all_2025!G:G, [1]Raphanus_specimens_all_2025!A:A, "")</f>
        <v>3452051</v>
      </c>
      <c r="B708">
        <v>3452051</v>
      </c>
      <c r="C708" t="s">
        <v>497</v>
      </c>
      <c r="D708" s="8" t="s">
        <v>549</v>
      </c>
      <c r="E708">
        <v>1900</v>
      </c>
      <c r="F708" t="s">
        <v>556</v>
      </c>
      <c r="G708" t="s">
        <v>225</v>
      </c>
      <c r="H708" t="s">
        <v>553</v>
      </c>
    </row>
    <row r="709" spans="1:10" x14ac:dyDescent="0.2">
      <c r="A709">
        <f>_xlfn.XLOOKUP(D709, [1]Raphanus_specimens_all_2025!G:G, [1]Raphanus_specimens_all_2025!A:A, "")</f>
        <v>3258364</v>
      </c>
      <c r="B709">
        <v>3258364</v>
      </c>
      <c r="C709" t="s">
        <v>497</v>
      </c>
      <c r="D709" s="8" t="s">
        <v>590</v>
      </c>
      <c r="E709">
        <v>1901</v>
      </c>
      <c r="F709" t="s">
        <v>594</v>
      </c>
      <c r="G709" t="s">
        <v>225</v>
      </c>
      <c r="H709" t="s">
        <v>25</v>
      </c>
      <c r="I709" t="s">
        <v>593</v>
      </c>
    </row>
    <row r="710" spans="1:10" x14ac:dyDescent="0.2">
      <c r="A710">
        <f>_xlfn.XLOOKUP(D710, [1]Raphanus_specimens_all_2025!G:G, [1]Raphanus_specimens_all_2025!A:A, "")</f>
        <v>3400958</v>
      </c>
      <c r="B710">
        <v>3400958</v>
      </c>
      <c r="C710" t="s">
        <v>497</v>
      </c>
      <c r="D710" s="8" t="s">
        <v>646</v>
      </c>
      <c r="E710">
        <v>1905</v>
      </c>
      <c r="F710" t="s">
        <v>310</v>
      </c>
      <c r="G710" t="s">
        <v>225</v>
      </c>
      <c r="H710" t="s">
        <v>25</v>
      </c>
      <c r="I710" t="s">
        <v>651</v>
      </c>
    </row>
    <row r="711" spans="1:10" x14ac:dyDescent="0.2">
      <c r="A711">
        <f>_xlfn.XLOOKUP(D711, [1]Raphanus_specimens_all_2025!G:G, [1]Raphanus_specimens_all_2025!A:A, "")</f>
        <v>3489775</v>
      </c>
      <c r="B711">
        <v>3489775</v>
      </c>
      <c r="C711" t="s">
        <v>497</v>
      </c>
      <c r="D711" s="8" t="s">
        <v>591</v>
      </c>
      <c r="E711">
        <v>1906</v>
      </c>
      <c r="F711" t="s">
        <v>596</v>
      </c>
      <c r="G711" t="s">
        <v>225</v>
      </c>
      <c r="H711" t="s">
        <v>25</v>
      </c>
    </row>
    <row r="712" spans="1:10" x14ac:dyDescent="0.2">
      <c r="A712">
        <f>_xlfn.XLOOKUP(D712, [1]Raphanus_specimens_all_2025!G:G, [1]Raphanus_specimens_all_2025!A:A, "")</f>
        <v>3290499</v>
      </c>
      <c r="B712">
        <v>3290499</v>
      </c>
      <c r="C712" t="s">
        <v>497</v>
      </c>
      <c r="D712" s="8" t="s">
        <v>504</v>
      </c>
      <c r="E712">
        <v>1908</v>
      </c>
      <c r="F712" t="s">
        <v>508</v>
      </c>
      <c r="G712" t="s">
        <v>225</v>
      </c>
      <c r="H712" t="s">
        <v>25</v>
      </c>
    </row>
    <row r="713" spans="1:10" x14ac:dyDescent="0.2">
      <c r="A713">
        <f>_xlfn.XLOOKUP(D713, [1]Raphanus_specimens_all_2025!G:G, [1]Raphanus_specimens_all_2025!A:A, "")</f>
        <v>3479651</v>
      </c>
      <c r="B713">
        <v>3479651</v>
      </c>
      <c r="C713" t="s">
        <v>497</v>
      </c>
      <c r="D713" s="8" t="s">
        <v>610</v>
      </c>
      <c r="E713">
        <v>1917</v>
      </c>
      <c r="F713" t="s">
        <v>366</v>
      </c>
      <c r="G713" t="s">
        <v>225</v>
      </c>
      <c r="H713" t="s">
        <v>566</v>
      </c>
    </row>
    <row r="714" spans="1:10" x14ac:dyDescent="0.2">
      <c r="A714">
        <f>_xlfn.XLOOKUP(D714, [1]Raphanus_specimens_all_2025!G:G, [1]Raphanus_specimens_all_2025!A:A, "")</f>
        <v>3479641</v>
      </c>
      <c r="B714">
        <v>3479641</v>
      </c>
      <c r="C714" t="s">
        <v>497</v>
      </c>
      <c r="D714" s="8" t="s">
        <v>638</v>
      </c>
      <c r="E714">
        <v>1917</v>
      </c>
      <c r="F714" t="s">
        <v>294</v>
      </c>
      <c r="G714" t="s">
        <v>225</v>
      </c>
      <c r="H714" t="s">
        <v>85</v>
      </c>
      <c r="J714" t="s">
        <v>643</v>
      </c>
    </row>
    <row r="715" spans="1:10" x14ac:dyDescent="0.2">
      <c r="A715">
        <f>_xlfn.XLOOKUP(D715, [1]Raphanus_specimens_all_2025!G:G, [1]Raphanus_specimens_all_2025!A:A, "")</f>
        <v>3377055</v>
      </c>
      <c r="B715">
        <v>3377055</v>
      </c>
      <c r="C715" t="s">
        <v>497</v>
      </c>
      <c r="D715" t="s">
        <v>499</v>
      </c>
      <c r="E715">
        <v>1934</v>
      </c>
      <c r="F715" t="s">
        <v>503</v>
      </c>
      <c r="G715" t="s">
        <v>225</v>
      </c>
      <c r="H715" t="s">
        <v>509</v>
      </c>
    </row>
    <row r="716" spans="1:10" x14ac:dyDescent="0.2">
      <c r="A716">
        <f>_xlfn.XLOOKUP(D716, [1]Raphanus_specimens_all_2025!G:G, [1]Raphanus_specimens_all_2025!A:A, "")</f>
        <v>3417594</v>
      </c>
      <c r="B716">
        <v>3417594</v>
      </c>
      <c r="C716" t="s">
        <v>497</v>
      </c>
      <c r="D716" s="8" t="s">
        <v>586</v>
      </c>
      <c r="E716">
        <v>1934</v>
      </c>
      <c r="F716" t="s">
        <v>286</v>
      </c>
      <c r="G716" t="s">
        <v>225</v>
      </c>
      <c r="H716" t="s">
        <v>25</v>
      </c>
    </row>
    <row r="717" spans="1:10" x14ac:dyDescent="0.2">
      <c r="A717">
        <f>_xlfn.XLOOKUP(D717, [1]Raphanus_specimens_all_2025!G:G, [1]Raphanus_specimens_all_2025!A:A, "")</f>
        <v>3433650</v>
      </c>
      <c r="B717">
        <v>3433650</v>
      </c>
      <c r="C717" t="s">
        <v>497</v>
      </c>
      <c r="D717" s="8" t="s">
        <v>601</v>
      </c>
      <c r="E717">
        <v>1935</v>
      </c>
      <c r="F717" t="s">
        <v>594</v>
      </c>
      <c r="G717" t="s">
        <v>225</v>
      </c>
      <c r="H717" t="s">
        <v>25</v>
      </c>
      <c r="I717" t="s">
        <v>418</v>
      </c>
    </row>
    <row r="718" spans="1:10" x14ac:dyDescent="0.2">
      <c r="A718">
        <f>_xlfn.XLOOKUP(D718, [1]Raphanus_specimens_all_2025!G:G, [1]Raphanus_specimens_all_2025!A:A, "")</f>
        <v>3563575</v>
      </c>
      <c r="B718">
        <v>3563575</v>
      </c>
      <c r="C718" t="s">
        <v>497</v>
      </c>
      <c r="D718" s="8" t="s">
        <v>621</v>
      </c>
      <c r="E718">
        <v>1935</v>
      </c>
      <c r="F718" t="s">
        <v>310</v>
      </c>
      <c r="G718" t="s">
        <v>225</v>
      </c>
      <c r="H718" t="s">
        <v>25</v>
      </c>
    </row>
    <row r="719" spans="1:10" x14ac:dyDescent="0.2">
      <c r="A719">
        <f>_xlfn.XLOOKUP(D719, [1]Raphanus_specimens_all_2025!G:G, [1]Raphanus_specimens_all_2025!A:A, "")</f>
        <v>3440200</v>
      </c>
      <c r="B719">
        <v>3440200</v>
      </c>
      <c r="C719" t="s">
        <v>497</v>
      </c>
      <c r="D719" s="8" t="s">
        <v>585</v>
      </c>
      <c r="E719">
        <v>1936</v>
      </c>
      <c r="F719" t="s">
        <v>286</v>
      </c>
      <c r="G719" t="s">
        <v>225</v>
      </c>
      <c r="H719" t="s">
        <v>25</v>
      </c>
      <c r="I719" t="s">
        <v>588</v>
      </c>
    </row>
    <row r="720" spans="1:10" x14ac:dyDescent="0.2">
      <c r="A720">
        <f>_xlfn.XLOOKUP(D720, [1]Raphanus_specimens_all_2025!G:G, [1]Raphanus_specimens_all_2025!A:A, "")</f>
        <v>3544438</v>
      </c>
      <c r="B720">
        <v>3544438</v>
      </c>
      <c r="C720" t="s">
        <v>497</v>
      </c>
      <c r="D720" s="8" t="s">
        <v>576</v>
      </c>
      <c r="E720">
        <v>1998</v>
      </c>
      <c r="F720" t="s">
        <v>377</v>
      </c>
      <c r="G720" t="s">
        <v>225</v>
      </c>
      <c r="H720" t="s">
        <v>579</v>
      </c>
    </row>
    <row r="721" spans="1:12" x14ac:dyDescent="0.2">
      <c r="A721">
        <f>_xlfn.XLOOKUP(D721, [1]Raphanus_specimens_all_2025!G:G, [1]Raphanus_specimens_all_2025!A:A, "")</f>
        <v>3475357</v>
      </c>
      <c r="B721">
        <v>3475357</v>
      </c>
      <c r="C721" t="s">
        <v>497</v>
      </c>
      <c r="D721" s="8" t="s">
        <v>510</v>
      </c>
      <c r="E721">
        <v>2003</v>
      </c>
      <c r="F721" t="s">
        <v>310</v>
      </c>
      <c r="G721" t="s">
        <v>225</v>
      </c>
      <c r="H721" t="s">
        <v>516</v>
      </c>
      <c r="I721" t="s">
        <v>514</v>
      </c>
    </row>
    <row r="722" spans="1:12" x14ac:dyDescent="0.2">
      <c r="A722">
        <f>_xlfn.XLOOKUP(D722, [1]Raphanus_specimens_all_2025!G:G, [1]Raphanus_specimens_all_2025!A:A, "")</f>
        <v>3268949</v>
      </c>
      <c r="B722">
        <v>3268949</v>
      </c>
      <c r="C722" t="s">
        <v>497</v>
      </c>
      <c r="D722" s="8" t="s">
        <v>603</v>
      </c>
      <c r="E722" t="s">
        <v>602</v>
      </c>
      <c r="F722" t="s">
        <v>440</v>
      </c>
      <c r="G722" t="s">
        <v>225</v>
      </c>
      <c r="H722" t="s">
        <v>25</v>
      </c>
      <c r="I722" t="s">
        <v>607</v>
      </c>
    </row>
    <row r="723" spans="1:12" x14ac:dyDescent="0.2">
      <c r="A723">
        <f>_xlfn.XLOOKUP(D723, [1]Raphanus_specimens_all_2025!G:G, [1]Raphanus_specimens_all_2025!A:A, "")</f>
        <v>1548194</v>
      </c>
      <c r="B723">
        <v>1548194</v>
      </c>
      <c r="C723" t="s">
        <v>1077</v>
      </c>
      <c r="D723" t="s">
        <v>1083</v>
      </c>
      <c r="E723">
        <v>2003</v>
      </c>
      <c r="F723" t="s">
        <v>503</v>
      </c>
      <c r="G723" t="s">
        <v>11</v>
      </c>
      <c r="H723" t="s">
        <v>25</v>
      </c>
      <c r="I723" t="s">
        <v>1085</v>
      </c>
      <c r="K723" t="s">
        <v>1081</v>
      </c>
      <c r="L723" s="11">
        <v>45950</v>
      </c>
    </row>
    <row r="724" spans="1:12" x14ac:dyDescent="0.2">
      <c r="A724">
        <f>_xlfn.XLOOKUP(D724, [1]Raphanus_specimens_all_2025!G:G, [1]Raphanus_specimens_all_2025!A:A, "")</f>
        <v>1612297</v>
      </c>
      <c r="B724">
        <v>1612297</v>
      </c>
      <c r="C724" t="s">
        <v>1077</v>
      </c>
      <c r="D724" t="s">
        <v>1100</v>
      </c>
      <c r="E724">
        <v>2008</v>
      </c>
      <c r="F724" t="s">
        <v>1015</v>
      </c>
      <c r="G724" t="s">
        <v>11</v>
      </c>
      <c r="H724" t="s">
        <v>791</v>
      </c>
      <c r="I724" t="s">
        <v>1085</v>
      </c>
      <c r="K724" t="s">
        <v>1081</v>
      </c>
      <c r="L724" s="11">
        <v>45950</v>
      </c>
    </row>
    <row r="725" spans="1:12" x14ac:dyDescent="0.2">
      <c r="A725">
        <f>_xlfn.XLOOKUP(D725, [1]Raphanus_specimens_all_2025!G:G, [1]Raphanus_specimens_all_2025!A:A, "")</f>
        <v>1630048</v>
      </c>
      <c r="B725">
        <v>1630048</v>
      </c>
      <c r="C725" t="s">
        <v>1077</v>
      </c>
      <c r="D725" t="s">
        <v>1102</v>
      </c>
      <c r="E725">
        <v>2010</v>
      </c>
      <c r="F725" t="s">
        <v>503</v>
      </c>
      <c r="G725" t="s">
        <v>11</v>
      </c>
      <c r="H725" t="s">
        <v>791</v>
      </c>
      <c r="K725" t="s">
        <v>1081</v>
      </c>
      <c r="L725" s="11">
        <v>45950</v>
      </c>
    </row>
    <row r="726" spans="1:12" x14ac:dyDescent="0.2">
      <c r="A726">
        <f>_xlfn.XLOOKUP(D726, [1]Raphanus_specimens_all_2025!G:G, [1]Raphanus_specimens_all_2025!A:A, "")</f>
        <v>1670844</v>
      </c>
      <c r="B726">
        <v>1670844</v>
      </c>
      <c r="C726" t="s">
        <v>1077</v>
      </c>
      <c r="D726" t="s">
        <v>1095</v>
      </c>
      <c r="E726">
        <v>2012</v>
      </c>
      <c r="F726" t="s">
        <v>671</v>
      </c>
      <c r="G726" t="s">
        <v>696</v>
      </c>
      <c r="H726" t="s">
        <v>1096</v>
      </c>
      <c r="K726" t="s">
        <v>1097</v>
      </c>
      <c r="L726" s="11">
        <v>45950</v>
      </c>
    </row>
    <row r="727" spans="1:12" x14ac:dyDescent="0.2">
      <c r="A727">
        <f>_xlfn.XLOOKUP(D727, [1]Raphanus_specimens_all_2025!G:G, [1]Raphanus_specimens_all_2025!A:A, "")</f>
        <v>3591679</v>
      </c>
      <c r="B727">
        <v>3591679</v>
      </c>
      <c r="C727" t="s">
        <v>1077</v>
      </c>
      <c r="D727" t="s">
        <v>1091</v>
      </c>
      <c r="E727">
        <v>2015</v>
      </c>
      <c r="F727" t="s">
        <v>1092</v>
      </c>
      <c r="G727" t="s">
        <v>369</v>
      </c>
      <c r="H727" t="s">
        <v>520</v>
      </c>
      <c r="K727" t="s">
        <v>1081</v>
      </c>
      <c r="L727" s="11">
        <v>45950</v>
      </c>
    </row>
    <row r="728" spans="1:12" x14ac:dyDescent="0.2">
      <c r="A728">
        <f>_xlfn.XLOOKUP(D728, [1]Raphanus_specimens_all_2025!G:G, [1]Raphanus_specimens_all_2025!A:A, "")</f>
        <v>1566244</v>
      </c>
      <c r="B728">
        <v>1566244</v>
      </c>
      <c r="C728" t="s">
        <v>1077</v>
      </c>
      <c r="D728" t="s">
        <v>1090</v>
      </c>
      <c r="E728">
        <v>2003</v>
      </c>
      <c r="F728" t="s">
        <v>671</v>
      </c>
      <c r="G728" t="s">
        <v>437</v>
      </c>
      <c r="H728" t="s">
        <v>777</v>
      </c>
      <c r="K728" t="s">
        <v>1086</v>
      </c>
      <c r="L728" s="11">
        <v>45950</v>
      </c>
    </row>
    <row r="729" spans="1:12" x14ac:dyDescent="0.2">
      <c r="A729">
        <f>_xlfn.XLOOKUP(D729, [1]Raphanus_specimens_all_2025!G:G, [1]Raphanus_specimens_all_2025!A:A, "")</f>
        <v>1635838</v>
      </c>
      <c r="B729">
        <v>1635838</v>
      </c>
      <c r="C729" t="s">
        <v>1077</v>
      </c>
      <c r="D729" t="s">
        <v>1101</v>
      </c>
      <c r="E729">
        <v>2003</v>
      </c>
      <c r="F729" t="s">
        <v>1040</v>
      </c>
      <c r="G729" t="s">
        <v>437</v>
      </c>
      <c r="H729" t="s">
        <v>791</v>
      </c>
      <c r="K729" t="s">
        <v>1081</v>
      </c>
      <c r="L729" s="11">
        <v>45950</v>
      </c>
    </row>
    <row r="730" spans="1:12" x14ac:dyDescent="0.2">
      <c r="A730">
        <f>_xlfn.XLOOKUP(D730, [1]Raphanus_specimens_all_2025!G:G, [1]Raphanus_specimens_all_2025!A:A, "")</f>
        <v>1657455</v>
      </c>
      <c r="B730">
        <v>1657455</v>
      </c>
      <c r="C730" t="s">
        <v>1077</v>
      </c>
      <c r="D730" t="s">
        <v>1093</v>
      </c>
      <c r="E730">
        <v>2004</v>
      </c>
      <c r="F730" t="s">
        <v>1094</v>
      </c>
      <c r="G730" t="s">
        <v>437</v>
      </c>
      <c r="H730" t="s">
        <v>670</v>
      </c>
      <c r="K730" t="s">
        <v>1081</v>
      </c>
      <c r="L730" s="11">
        <v>45950</v>
      </c>
    </row>
    <row r="731" spans="1:12" x14ac:dyDescent="0.2">
      <c r="A731">
        <f>_xlfn.XLOOKUP(D731, [1]Raphanus_specimens_all_2025!G:G, [1]Raphanus_specimens_all_2025!A:A, "")</f>
        <v>1578856</v>
      </c>
      <c r="B731">
        <v>1578856</v>
      </c>
      <c r="C731" t="s">
        <v>1077</v>
      </c>
      <c r="D731" t="s">
        <v>1107</v>
      </c>
      <c r="E731">
        <v>2004</v>
      </c>
      <c r="F731" t="s">
        <v>671</v>
      </c>
      <c r="G731" t="s">
        <v>437</v>
      </c>
      <c r="H731" t="s">
        <v>520</v>
      </c>
      <c r="K731" t="s">
        <v>1084</v>
      </c>
      <c r="L731" s="11">
        <v>45950</v>
      </c>
    </row>
    <row r="732" spans="1:12" x14ac:dyDescent="0.2">
      <c r="A732">
        <f>_xlfn.XLOOKUP(D732, [1]Raphanus_specimens_all_2025!G:G, [1]Raphanus_specimens_all_2025!A:A, "")</f>
        <v>1591417</v>
      </c>
      <c r="B732">
        <v>1591417</v>
      </c>
      <c r="C732" t="s">
        <v>1077</v>
      </c>
      <c r="D732" t="s">
        <v>1166</v>
      </c>
      <c r="E732">
        <v>2005</v>
      </c>
      <c r="F732" t="s">
        <v>671</v>
      </c>
      <c r="G732" t="s">
        <v>437</v>
      </c>
      <c r="H732" t="s">
        <v>25</v>
      </c>
      <c r="K732" t="s">
        <v>1086</v>
      </c>
      <c r="L732" s="11">
        <v>45950</v>
      </c>
    </row>
    <row r="733" spans="1:12" x14ac:dyDescent="0.2">
      <c r="A733">
        <f>_xlfn.XLOOKUP(D733, [1]Raphanus_specimens_all_2025!G:G, [1]Raphanus_specimens_all_2025!A:A, "")</f>
        <v>1602409</v>
      </c>
      <c r="B733">
        <v>1602409</v>
      </c>
      <c r="C733" t="s">
        <v>1077</v>
      </c>
      <c r="D733" t="s">
        <v>1087</v>
      </c>
      <c r="E733">
        <v>2005</v>
      </c>
      <c r="F733" t="s">
        <v>774</v>
      </c>
      <c r="G733" t="s">
        <v>437</v>
      </c>
      <c r="H733" t="s">
        <v>25</v>
      </c>
      <c r="I733" t="s">
        <v>1088</v>
      </c>
      <c r="K733" t="s">
        <v>1086</v>
      </c>
      <c r="L733" s="11">
        <v>45950</v>
      </c>
    </row>
    <row r="734" spans="1:12" x14ac:dyDescent="0.2">
      <c r="A734">
        <f>_xlfn.XLOOKUP(D734, [1]Raphanus_specimens_all_2025!G:G, [1]Raphanus_specimens_all_2025!A:A, "")</f>
        <v>1582894</v>
      </c>
      <c r="B734">
        <v>1582894</v>
      </c>
      <c r="C734" t="s">
        <v>1077</v>
      </c>
      <c r="D734" t="s">
        <v>1110</v>
      </c>
      <c r="E734">
        <v>2005</v>
      </c>
      <c r="F734" t="s">
        <v>808</v>
      </c>
      <c r="G734" t="s">
        <v>437</v>
      </c>
      <c r="H734" t="s">
        <v>25</v>
      </c>
      <c r="K734" t="s">
        <v>1084</v>
      </c>
      <c r="L734" s="11">
        <v>45950</v>
      </c>
    </row>
    <row r="735" spans="1:12" x14ac:dyDescent="0.2">
      <c r="A735">
        <f>_xlfn.XLOOKUP(D735, [1]Raphanus_specimens_all_2025!G:G, [1]Raphanus_specimens_all_2025!A:A, "")</f>
        <v>1635613</v>
      </c>
      <c r="B735">
        <v>1635613</v>
      </c>
      <c r="C735" t="s">
        <v>1077</v>
      </c>
      <c r="D735" t="s">
        <v>1082</v>
      </c>
      <c r="E735">
        <v>2009</v>
      </c>
      <c r="F735" t="s">
        <v>671</v>
      </c>
      <c r="G735" t="s">
        <v>437</v>
      </c>
      <c r="H735" t="s">
        <v>474</v>
      </c>
      <c r="I735" t="s">
        <v>514</v>
      </c>
      <c r="K735" t="s">
        <v>1084</v>
      </c>
      <c r="L735" s="11">
        <v>45950</v>
      </c>
    </row>
    <row r="736" spans="1:12" x14ac:dyDescent="0.2">
      <c r="A736">
        <f>_xlfn.XLOOKUP(D736, [1]Raphanus_specimens_all_2025!G:G, [1]Raphanus_specimens_all_2025!A:A, "")</f>
        <v>1635523</v>
      </c>
      <c r="B736">
        <v>1635523</v>
      </c>
      <c r="C736" t="s">
        <v>1077</v>
      </c>
      <c r="D736" t="s">
        <v>1099</v>
      </c>
      <c r="E736">
        <v>2010</v>
      </c>
      <c r="F736" t="s">
        <v>503</v>
      </c>
      <c r="G736" t="s">
        <v>437</v>
      </c>
      <c r="H736" t="s">
        <v>78</v>
      </c>
      <c r="K736" t="s">
        <v>1081</v>
      </c>
      <c r="L736" s="11">
        <v>45950</v>
      </c>
    </row>
    <row r="737" spans="1:12" x14ac:dyDescent="0.2">
      <c r="A737">
        <f>_xlfn.XLOOKUP(D737, [1]Raphanus_specimens_all_2025!G:G, [1]Raphanus_specimens_all_2025!A:A, "")</f>
        <v>1675381</v>
      </c>
      <c r="B737">
        <v>1675381</v>
      </c>
      <c r="C737" t="s">
        <v>1077</v>
      </c>
      <c r="D737" t="s">
        <v>1104</v>
      </c>
      <c r="E737">
        <v>2010</v>
      </c>
      <c r="F737" t="s">
        <v>713</v>
      </c>
      <c r="G737" t="s">
        <v>437</v>
      </c>
      <c r="H737" t="s">
        <v>791</v>
      </c>
      <c r="K737" t="s">
        <v>1084</v>
      </c>
      <c r="L737" s="11">
        <v>45950</v>
      </c>
    </row>
    <row r="738" spans="1:12" x14ac:dyDescent="0.2">
      <c r="A738">
        <f>_xlfn.XLOOKUP(D738, [1]Raphanus_specimens_all_2025!G:G, [1]Raphanus_specimens_all_2025!A:A, "")</f>
        <v>1676594</v>
      </c>
      <c r="B738">
        <v>1676594</v>
      </c>
      <c r="C738" t="s">
        <v>1077</v>
      </c>
      <c r="D738" t="s">
        <v>1106</v>
      </c>
      <c r="E738">
        <v>2010</v>
      </c>
      <c r="F738" t="s">
        <v>908</v>
      </c>
      <c r="G738" t="s">
        <v>437</v>
      </c>
      <c r="H738" t="s">
        <v>97</v>
      </c>
      <c r="I738" t="s">
        <v>925</v>
      </c>
      <c r="K738" t="s">
        <v>1086</v>
      </c>
      <c r="L738" s="11">
        <v>45950</v>
      </c>
    </row>
    <row r="739" spans="1:12" x14ac:dyDescent="0.2">
      <c r="A739">
        <f>_xlfn.XLOOKUP(D739, [1]Raphanus_specimens_all_2025!G:G, [1]Raphanus_specimens_all_2025!A:A, "")</f>
        <v>1660287</v>
      </c>
      <c r="B739">
        <v>1660287</v>
      </c>
      <c r="C739" t="s">
        <v>1077</v>
      </c>
      <c r="D739" t="s">
        <v>1112</v>
      </c>
      <c r="E739">
        <v>2010</v>
      </c>
      <c r="F739" t="s">
        <v>671</v>
      </c>
      <c r="G739" t="s">
        <v>437</v>
      </c>
      <c r="H739" t="s">
        <v>791</v>
      </c>
      <c r="K739" t="s">
        <v>1084</v>
      </c>
      <c r="L739" s="11">
        <v>45950</v>
      </c>
    </row>
    <row r="740" spans="1:12" x14ac:dyDescent="0.2">
      <c r="A740">
        <f>_xlfn.XLOOKUP(D740, [1]Raphanus_specimens_all_2025!G:G, [1]Raphanus_specimens_all_2025!A:A, "")</f>
        <v>1695490</v>
      </c>
      <c r="B740">
        <v>1695490</v>
      </c>
      <c r="C740" t="s">
        <v>1077</v>
      </c>
      <c r="D740" t="s">
        <v>1089</v>
      </c>
      <c r="E740">
        <v>2011</v>
      </c>
      <c r="F740" t="s">
        <v>503</v>
      </c>
      <c r="G740" t="s">
        <v>437</v>
      </c>
      <c r="H740" t="s">
        <v>791</v>
      </c>
      <c r="I740" t="s">
        <v>514</v>
      </c>
      <c r="K740" t="s">
        <v>1086</v>
      </c>
      <c r="L740" s="11">
        <v>45950</v>
      </c>
    </row>
    <row r="741" spans="1:12" x14ac:dyDescent="0.2">
      <c r="A741">
        <f>_xlfn.XLOOKUP(D741, [1]Raphanus_specimens_all_2025!G:G, [1]Raphanus_specimens_all_2025!A:A, "")</f>
        <v>1654228</v>
      </c>
      <c r="B741">
        <v>1654228</v>
      </c>
      <c r="C741" t="s">
        <v>1077</v>
      </c>
      <c r="D741" t="s">
        <v>1114</v>
      </c>
      <c r="E741">
        <v>2012</v>
      </c>
      <c r="F741" t="s">
        <v>1115</v>
      </c>
      <c r="G741" t="s">
        <v>437</v>
      </c>
      <c r="H741" t="s">
        <v>25</v>
      </c>
      <c r="K741" t="s">
        <v>1084</v>
      </c>
      <c r="L741" s="11">
        <v>45950</v>
      </c>
    </row>
    <row r="742" spans="1:12" x14ac:dyDescent="0.2">
      <c r="A742">
        <f>_xlfn.XLOOKUP(D742, [1]Raphanus_specimens_all_2025!G:G, [1]Raphanus_specimens_all_2025!A:A, "")</f>
        <v>1699178</v>
      </c>
      <c r="B742">
        <v>1699178</v>
      </c>
      <c r="C742" t="s">
        <v>1077</v>
      </c>
      <c r="D742" t="s">
        <v>1117</v>
      </c>
      <c r="E742">
        <v>2017</v>
      </c>
      <c r="F742" t="s">
        <v>774</v>
      </c>
      <c r="G742" t="s">
        <v>437</v>
      </c>
      <c r="H742" t="s">
        <v>25</v>
      </c>
      <c r="K742" t="s">
        <v>1084</v>
      </c>
      <c r="L742" s="11">
        <v>45950</v>
      </c>
    </row>
    <row r="743" spans="1:12" x14ac:dyDescent="0.2">
      <c r="A743">
        <f>_xlfn.XLOOKUP(D743, [1]Raphanus_specimens_all_2025!G:G, [1]Raphanus_specimens_all_2025!A:A, "")</f>
        <v>1606153</v>
      </c>
      <c r="B743">
        <v>1606153</v>
      </c>
      <c r="C743" t="s">
        <v>1077</v>
      </c>
      <c r="D743" t="s">
        <v>1080</v>
      </c>
      <c r="E743">
        <v>2007</v>
      </c>
      <c r="F743" t="s">
        <v>808</v>
      </c>
      <c r="G743" t="s">
        <v>18</v>
      </c>
      <c r="H743" t="s">
        <v>791</v>
      </c>
      <c r="K743" t="s">
        <v>1081</v>
      </c>
      <c r="L743" s="11">
        <v>45950</v>
      </c>
    </row>
    <row r="744" spans="1:12" x14ac:dyDescent="0.2">
      <c r="A744">
        <f>_xlfn.XLOOKUP(D744, [1]Raphanus_specimens_all_2025!G:G, [1]Raphanus_specimens_all_2025!A:A, "")</f>
        <v>1675351</v>
      </c>
      <c r="B744">
        <v>1675351</v>
      </c>
      <c r="C744" t="s">
        <v>1077</v>
      </c>
      <c r="D744" t="s">
        <v>1103</v>
      </c>
      <c r="E744">
        <v>2010</v>
      </c>
      <c r="F744" t="s">
        <v>713</v>
      </c>
      <c r="G744" t="s">
        <v>18</v>
      </c>
      <c r="H744" t="s">
        <v>791</v>
      </c>
      <c r="K744" t="s">
        <v>1084</v>
      </c>
      <c r="L744" s="11">
        <v>45950</v>
      </c>
    </row>
    <row r="745" spans="1:12" x14ac:dyDescent="0.2">
      <c r="A745">
        <f>_xlfn.XLOOKUP(D745, [1]Raphanus_specimens_all_2025!G:G, [1]Raphanus_specimens_all_2025!A:A, "")</f>
        <v>1671160</v>
      </c>
      <c r="B745">
        <v>1671160</v>
      </c>
      <c r="C745" t="s">
        <v>1077</v>
      </c>
      <c r="D745" t="s">
        <v>1108</v>
      </c>
      <c r="E745">
        <v>2014</v>
      </c>
      <c r="F745" t="s">
        <v>1109</v>
      </c>
      <c r="G745" t="s">
        <v>18</v>
      </c>
      <c r="H745" t="s">
        <v>25</v>
      </c>
      <c r="I745" t="s">
        <v>526</v>
      </c>
      <c r="K745" t="s">
        <v>1084</v>
      </c>
      <c r="L745" s="11">
        <v>45950</v>
      </c>
    </row>
    <row r="746" spans="1:12" x14ac:dyDescent="0.2">
      <c r="A746">
        <f>_xlfn.XLOOKUP(D746, [1]Raphanus_specimens_all_2025!G:G, [1]Raphanus_specimens_all_2025!A:A, "")</f>
        <v>1702201</v>
      </c>
      <c r="B746">
        <v>1702201</v>
      </c>
      <c r="C746" t="s">
        <v>1077</v>
      </c>
      <c r="D746" t="s">
        <v>1098</v>
      </c>
      <c r="E746">
        <v>2018</v>
      </c>
      <c r="F746" t="s">
        <v>671</v>
      </c>
      <c r="G746" t="s">
        <v>18</v>
      </c>
      <c r="H746" t="s">
        <v>78</v>
      </c>
      <c r="K746" t="s">
        <v>1081</v>
      </c>
      <c r="L746" s="11">
        <v>45950</v>
      </c>
    </row>
    <row r="747" spans="1:12" x14ac:dyDescent="0.2">
      <c r="A747">
        <f>_xlfn.XLOOKUP(D747, [1]Raphanus_specimens_all_2025!G:G, [1]Raphanus_specimens_all_2025!A:A, "")</f>
        <v>1675373</v>
      </c>
      <c r="B747">
        <v>1675373</v>
      </c>
      <c r="C747" t="s">
        <v>1077</v>
      </c>
      <c r="D747" t="s">
        <v>1105</v>
      </c>
      <c r="E747">
        <v>2010</v>
      </c>
      <c r="F747" t="s">
        <v>671</v>
      </c>
      <c r="G747" t="s">
        <v>785</v>
      </c>
      <c r="H747" t="s">
        <v>97</v>
      </c>
      <c r="K747" t="s">
        <v>1086</v>
      </c>
      <c r="L747" s="11">
        <v>45950</v>
      </c>
    </row>
    <row r="748" spans="1:12" x14ac:dyDescent="0.2">
      <c r="A748">
        <f>_xlfn.XLOOKUP(D748, [1]Raphanus_specimens_all_2025!G:G, [1]Raphanus_specimens_all_2025!A:A, "")</f>
        <v>1660296</v>
      </c>
      <c r="B748">
        <v>1660296</v>
      </c>
      <c r="C748" t="s">
        <v>1077</v>
      </c>
      <c r="D748" t="s">
        <v>1111</v>
      </c>
      <c r="E748">
        <v>2010</v>
      </c>
      <c r="F748" t="s">
        <v>915</v>
      </c>
      <c r="G748" t="s">
        <v>785</v>
      </c>
      <c r="H748" t="s">
        <v>520</v>
      </c>
      <c r="K748" t="s">
        <v>1084</v>
      </c>
      <c r="L748" s="11">
        <v>45950</v>
      </c>
    </row>
    <row r="749" spans="1:12" x14ac:dyDescent="0.2">
      <c r="A749">
        <f>_xlfn.XLOOKUP(D749, [1]Raphanus_specimens_all_2025!G:G, [1]Raphanus_specimens_all_2025!A:A, "")</f>
        <v>1655769</v>
      </c>
      <c r="B749">
        <v>1655769</v>
      </c>
      <c r="C749" t="s">
        <v>1077</v>
      </c>
      <c r="D749" t="s">
        <v>1079</v>
      </c>
      <c r="E749">
        <v>2012</v>
      </c>
      <c r="F749" t="s">
        <v>774</v>
      </c>
      <c r="G749" t="s">
        <v>785</v>
      </c>
      <c r="H749" t="s">
        <v>791</v>
      </c>
      <c r="K749" t="s">
        <v>1084</v>
      </c>
      <c r="L749" s="11">
        <v>45950</v>
      </c>
    </row>
    <row r="750" spans="1:12" x14ac:dyDescent="0.2">
      <c r="A750">
        <f>_xlfn.XLOOKUP(D750, [1]Raphanus_specimens_all_2025!G:G, [1]Raphanus_specimens_all_2025!A:A, "")</f>
        <v>1654238</v>
      </c>
      <c r="B750">
        <v>1654238</v>
      </c>
      <c r="C750" t="s">
        <v>1077</v>
      </c>
      <c r="D750" t="s">
        <v>1113</v>
      </c>
      <c r="E750">
        <v>2012</v>
      </c>
      <c r="F750" t="s">
        <v>808</v>
      </c>
      <c r="G750" t="s">
        <v>785</v>
      </c>
      <c r="H750" t="s">
        <v>25</v>
      </c>
      <c r="K750" t="s">
        <v>1084</v>
      </c>
      <c r="L750" s="11">
        <v>45950</v>
      </c>
    </row>
    <row r="751" spans="1:12" x14ac:dyDescent="0.2">
      <c r="A751">
        <f>_xlfn.XLOOKUP(D751, [1]Raphanus_specimens_all_2025!G:G, [1]Raphanus_specimens_all_2025!A:A, "")</f>
        <v>1673929</v>
      </c>
      <c r="B751">
        <v>1673929</v>
      </c>
      <c r="C751" t="s">
        <v>1077</v>
      </c>
      <c r="D751" t="s">
        <v>1116</v>
      </c>
      <c r="E751">
        <v>2013</v>
      </c>
      <c r="F751" t="s">
        <v>915</v>
      </c>
      <c r="G751" t="s">
        <v>785</v>
      </c>
      <c r="H751" t="s">
        <v>25</v>
      </c>
      <c r="K751" t="s">
        <v>1084</v>
      </c>
      <c r="L751" s="11">
        <v>45950</v>
      </c>
    </row>
    <row r="752" spans="1:12" x14ac:dyDescent="0.2">
      <c r="A752">
        <f>_xlfn.XLOOKUP(D752, [1]Raphanus_specimens_all_2025!G:G, [1]Raphanus_specimens_all_2025!A:A, "")</f>
        <v>1667093</v>
      </c>
      <c r="B752">
        <v>1667093</v>
      </c>
      <c r="C752" t="s">
        <v>1077</v>
      </c>
      <c r="D752" t="s">
        <v>1164</v>
      </c>
      <c r="E752">
        <v>2012</v>
      </c>
      <c r="F752" t="s">
        <v>1119</v>
      </c>
      <c r="G752" t="s">
        <v>110</v>
      </c>
      <c r="H752" t="s">
        <v>322</v>
      </c>
      <c r="I752" t="s">
        <v>1118</v>
      </c>
      <c r="K752" s="12" t="s">
        <v>1084</v>
      </c>
      <c r="L752" s="11">
        <v>45952</v>
      </c>
    </row>
    <row r="753" spans="1:12" x14ac:dyDescent="0.2">
      <c r="A753">
        <f>_xlfn.XLOOKUP(D753, [1]Raphanus_specimens_all_2025!G:G, [1]Raphanus_specimens_all_2025!A:A, "")</f>
        <v>1654990</v>
      </c>
      <c r="B753">
        <v>1654990</v>
      </c>
      <c r="C753" t="s">
        <v>1077</v>
      </c>
      <c r="D753" t="s">
        <v>1120</v>
      </c>
      <c r="E753">
        <v>2004</v>
      </c>
      <c r="F753" t="s">
        <v>503</v>
      </c>
      <c r="G753" t="s">
        <v>11</v>
      </c>
      <c r="H753" t="s">
        <v>1121</v>
      </c>
      <c r="K753" s="12" t="s">
        <v>1084</v>
      </c>
      <c r="L753" s="11">
        <v>45952</v>
      </c>
    </row>
    <row r="754" spans="1:12" x14ac:dyDescent="0.2">
      <c r="A754">
        <f>_xlfn.XLOOKUP(D754, [1]Raphanus_specimens_all_2025!G:G, [1]Raphanus_specimens_all_2025!A:A, "")</f>
        <v>1560057</v>
      </c>
      <c r="B754">
        <v>1560057</v>
      </c>
      <c r="C754" t="s">
        <v>1077</v>
      </c>
      <c r="D754" t="s">
        <v>1125</v>
      </c>
      <c r="E754">
        <v>2004</v>
      </c>
      <c r="F754" t="s">
        <v>1015</v>
      </c>
      <c r="G754" t="s">
        <v>11</v>
      </c>
      <c r="H754" t="s">
        <v>25</v>
      </c>
      <c r="K754" s="12" t="s">
        <v>1084</v>
      </c>
      <c r="L754" s="11">
        <v>45952</v>
      </c>
    </row>
    <row r="755" spans="1:12" x14ac:dyDescent="0.2">
      <c r="A755">
        <f>_xlfn.XLOOKUP(D755, [1]Raphanus_specimens_all_2025!G:G, [1]Raphanus_specimens_all_2025!A:A, "")</f>
        <v>1655320</v>
      </c>
      <c r="B755">
        <v>1655320</v>
      </c>
      <c r="C755" t="s">
        <v>1077</v>
      </c>
      <c r="D755" t="s">
        <v>1132</v>
      </c>
      <c r="E755">
        <v>2012</v>
      </c>
      <c r="F755" t="s">
        <v>503</v>
      </c>
      <c r="G755" t="s">
        <v>11</v>
      </c>
      <c r="H755" t="s">
        <v>1133</v>
      </c>
      <c r="K755" t="s">
        <v>1081</v>
      </c>
      <c r="L755" s="11">
        <v>45952</v>
      </c>
    </row>
    <row r="756" spans="1:12" x14ac:dyDescent="0.2">
      <c r="A756">
        <f>_xlfn.XLOOKUP(D756, [1]Raphanus_specimens_all_2025!G:G, [1]Raphanus_specimens_all_2025!A:A, "")</f>
        <v>1654175</v>
      </c>
      <c r="B756">
        <v>1654175</v>
      </c>
      <c r="C756" t="s">
        <v>1077</v>
      </c>
      <c r="D756" t="s">
        <v>1139</v>
      </c>
      <c r="E756">
        <v>2012</v>
      </c>
      <c r="F756" t="s">
        <v>932</v>
      </c>
      <c r="G756" t="s">
        <v>696</v>
      </c>
      <c r="H756" t="s">
        <v>78</v>
      </c>
      <c r="K756" t="s">
        <v>1081</v>
      </c>
      <c r="L756" s="11">
        <v>45952</v>
      </c>
    </row>
    <row r="757" spans="1:12" x14ac:dyDescent="0.2">
      <c r="A757">
        <f>_xlfn.XLOOKUP(D757, [1]Raphanus_specimens_all_2025!G:G, [1]Raphanus_specimens_all_2025!A:A, "")</f>
        <v>1547140</v>
      </c>
      <c r="B757">
        <v>1547140</v>
      </c>
      <c r="C757" t="s">
        <v>1077</v>
      </c>
      <c r="D757" t="s">
        <v>1124</v>
      </c>
      <c r="E757">
        <v>2003</v>
      </c>
      <c r="F757" t="s">
        <v>503</v>
      </c>
      <c r="G757" t="s">
        <v>437</v>
      </c>
      <c r="H757" t="s">
        <v>25</v>
      </c>
      <c r="K757" s="12" t="s">
        <v>1086</v>
      </c>
      <c r="L757" s="11">
        <v>45952</v>
      </c>
    </row>
    <row r="758" spans="1:12" x14ac:dyDescent="0.2">
      <c r="A758">
        <f>_xlfn.XLOOKUP(D758, [1]Raphanus_specimens_all_2025!G:G, [1]Raphanus_specimens_all_2025!A:A, "")</f>
        <v>1623574</v>
      </c>
      <c r="B758">
        <v>1623574</v>
      </c>
      <c r="C758" t="s">
        <v>1077</v>
      </c>
      <c r="D758" t="s">
        <v>1130</v>
      </c>
      <c r="E758">
        <v>2009</v>
      </c>
      <c r="F758" t="s">
        <v>671</v>
      </c>
      <c r="G758" t="s">
        <v>437</v>
      </c>
      <c r="H758" t="s">
        <v>78</v>
      </c>
      <c r="K758" s="12" t="s">
        <v>1084</v>
      </c>
      <c r="L758" s="11">
        <v>45952</v>
      </c>
    </row>
    <row r="759" spans="1:12" x14ac:dyDescent="0.2">
      <c r="A759">
        <f>_xlfn.XLOOKUP(D759, [1]Raphanus_specimens_all_2025!G:G, [1]Raphanus_specimens_all_2025!A:A, "")</f>
        <v>1654256</v>
      </c>
      <c r="B759">
        <v>1654256</v>
      </c>
      <c r="C759" t="s">
        <v>1077</v>
      </c>
      <c r="D759" t="s">
        <v>1131</v>
      </c>
      <c r="E759">
        <v>2012</v>
      </c>
      <c r="F759" t="s">
        <v>503</v>
      </c>
      <c r="G759" t="s">
        <v>437</v>
      </c>
      <c r="H759" t="s">
        <v>25</v>
      </c>
      <c r="K759" s="12" t="s">
        <v>1084</v>
      </c>
      <c r="L759" s="11">
        <v>45952</v>
      </c>
    </row>
    <row r="760" spans="1:12" x14ac:dyDescent="0.2">
      <c r="A760">
        <f>_xlfn.XLOOKUP(D760, [1]Raphanus_specimens_all_2025!G:G, [1]Raphanus_specimens_all_2025!A:A, "")</f>
        <v>1655697</v>
      </c>
      <c r="B760">
        <v>1655697</v>
      </c>
      <c r="C760" t="s">
        <v>1077</v>
      </c>
      <c r="D760" t="s">
        <v>1136</v>
      </c>
      <c r="E760">
        <v>2012</v>
      </c>
      <c r="F760" t="s">
        <v>503</v>
      </c>
      <c r="G760" t="s">
        <v>437</v>
      </c>
      <c r="H760" t="s">
        <v>78</v>
      </c>
      <c r="K760" t="s">
        <v>1084</v>
      </c>
      <c r="L760" s="11">
        <v>45952</v>
      </c>
    </row>
    <row r="761" spans="1:12" x14ac:dyDescent="0.2">
      <c r="A761">
        <f>_xlfn.XLOOKUP(D761, [1]Raphanus_specimens_all_2025!G:G, [1]Raphanus_specimens_all_2025!A:A, "")</f>
        <v>1669580</v>
      </c>
      <c r="B761">
        <v>1669580</v>
      </c>
      <c r="C761" t="s">
        <v>1077</v>
      </c>
      <c r="D761" t="s">
        <v>1122</v>
      </c>
      <c r="E761">
        <v>2013</v>
      </c>
      <c r="F761" t="s">
        <v>671</v>
      </c>
      <c r="G761" t="s">
        <v>437</v>
      </c>
      <c r="H761" t="s">
        <v>791</v>
      </c>
      <c r="I761" t="s">
        <v>1123</v>
      </c>
      <c r="K761" s="12" t="s">
        <v>1084</v>
      </c>
      <c r="L761" s="11">
        <v>45952</v>
      </c>
    </row>
    <row r="762" spans="1:12" x14ac:dyDescent="0.2">
      <c r="A762">
        <f>_xlfn.XLOOKUP(D762, [1]Raphanus_specimens_all_2025!G:G, [1]Raphanus_specimens_all_2025!A:A, "")</f>
        <v>1590780</v>
      </c>
      <c r="B762">
        <v>1590780</v>
      </c>
      <c r="C762" t="s">
        <v>1077</v>
      </c>
      <c r="D762" t="s">
        <v>1137</v>
      </c>
      <c r="E762">
        <v>2006</v>
      </c>
      <c r="F762" t="s">
        <v>503</v>
      </c>
      <c r="G762" t="s">
        <v>18</v>
      </c>
      <c r="H762" t="s">
        <v>1138</v>
      </c>
      <c r="K762" t="s">
        <v>1084</v>
      </c>
      <c r="L762" s="11">
        <v>45952</v>
      </c>
    </row>
    <row r="763" spans="1:12" x14ac:dyDescent="0.2">
      <c r="A763">
        <f>_xlfn.XLOOKUP(D763, [1]Raphanus_specimens_all_2025!G:G, [1]Raphanus_specimens_all_2025!A:A, "")</f>
        <v>1652583</v>
      </c>
      <c r="B763">
        <v>1652583</v>
      </c>
      <c r="C763" t="s">
        <v>1077</v>
      </c>
      <c r="D763" t="s">
        <v>1126</v>
      </c>
      <c r="E763">
        <v>2011</v>
      </c>
      <c r="F763" t="s">
        <v>774</v>
      </c>
      <c r="G763" t="s">
        <v>18</v>
      </c>
      <c r="H763" t="s">
        <v>25</v>
      </c>
      <c r="I763" t="s">
        <v>1127</v>
      </c>
      <c r="K763" s="12" t="s">
        <v>1084</v>
      </c>
      <c r="L763" s="11">
        <v>45952</v>
      </c>
    </row>
    <row r="764" spans="1:12" x14ac:dyDescent="0.2">
      <c r="A764">
        <f>_xlfn.XLOOKUP(D764, [1]Raphanus_specimens_all_2025!G:G, [1]Raphanus_specimens_all_2025!A:A, "")</f>
        <v>1666111</v>
      </c>
      <c r="B764">
        <v>1666111</v>
      </c>
      <c r="C764" t="s">
        <v>1077</v>
      </c>
      <c r="D764" t="s">
        <v>1128</v>
      </c>
      <c r="E764">
        <v>2013</v>
      </c>
      <c r="F764" t="s">
        <v>671</v>
      </c>
      <c r="G764" t="s">
        <v>18</v>
      </c>
      <c r="H764" t="s">
        <v>25</v>
      </c>
      <c r="K764" s="12" t="s">
        <v>1084</v>
      </c>
      <c r="L764" s="11">
        <v>45952</v>
      </c>
    </row>
    <row r="765" spans="1:12" x14ac:dyDescent="0.2">
      <c r="A765">
        <f>_xlfn.XLOOKUP(D765, [1]Raphanus_specimens_all_2025!G:G, [1]Raphanus_specimens_all_2025!A:A, "")</f>
        <v>1667960</v>
      </c>
      <c r="B765">
        <v>1667960</v>
      </c>
      <c r="C765" t="s">
        <v>1077</v>
      </c>
      <c r="D765" t="s">
        <v>1129</v>
      </c>
      <c r="E765">
        <v>2013</v>
      </c>
      <c r="F765" t="s">
        <v>1023</v>
      </c>
      <c r="G765" t="s">
        <v>18</v>
      </c>
      <c r="H765" t="s">
        <v>78</v>
      </c>
      <c r="K765" s="12" t="s">
        <v>1084</v>
      </c>
      <c r="L765" s="11">
        <v>45952</v>
      </c>
    </row>
    <row r="766" spans="1:12" x14ac:dyDescent="0.2">
      <c r="A766">
        <f>_xlfn.XLOOKUP(D766, [1]Raphanus_specimens_all_2025!G:G, [1]Raphanus_specimens_all_2025!A:A, "")</f>
        <v>1671045</v>
      </c>
      <c r="B766">
        <v>1671045</v>
      </c>
      <c r="C766" t="s">
        <v>1077</v>
      </c>
      <c r="D766" t="s">
        <v>1134</v>
      </c>
      <c r="E766">
        <v>2013</v>
      </c>
      <c r="F766" t="s">
        <v>850</v>
      </c>
      <c r="G766" t="s">
        <v>785</v>
      </c>
      <c r="H766" t="s">
        <v>306</v>
      </c>
      <c r="K766" t="s">
        <v>1135</v>
      </c>
      <c r="L766" s="11">
        <v>45952</v>
      </c>
    </row>
    <row r="767" spans="1:12" x14ac:dyDescent="0.2">
      <c r="A767">
        <f>_xlfn.XLOOKUP(D767, [1]Raphanus_specimens_all_2025!G:G, [1]Raphanus_specimens_all_2025!A:A, "")</f>
        <v>1459126</v>
      </c>
      <c r="B767">
        <v>1459126</v>
      </c>
      <c r="C767" t="s">
        <v>1077</v>
      </c>
      <c r="D767" t="s">
        <v>1222</v>
      </c>
      <c r="E767">
        <v>1987</v>
      </c>
      <c r="F767" t="s">
        <v>682</v>
      </c>
      <c r="G767" t="s">
        <v>696</v>
      </c>
      <c r="H767" t="s">
        <v>670</v>
      </c>
      <c r="I767" t="s">
        <v>1224</v>
      </c>
      <c r="K767" t="s">
        <v>1081</v>
      </c>
      <c r="L767" s="11">
        <v>45968</v>
      </c>
    </row>
    <row r="768" spans="1:12" x14ac:dyDescent="0.2">
      <c r="A768">
        <f>_xlfn.XLOOKUP(D768, [1]Raphanus_specimens_all_2025!G:G, [1]Raphanus_specimens_all_2025!A:A, "")</f>
        <v>1459129</v>
      </c>
      <c r="B768">
        <v>1459129</v>
      </c>
      <c r="C768" t="s">
        <v>1077</v>
      </c>
      <c r="D768" t="s">
        <v>1225</v>
      </c>
      <c r="E768">
        <v>1986</v>
      </c>
      <c r="F768" t="s">
        <v>1227</v>
      </c>
      <c r="G768" t="s">
        <v>437</v>
      </c>
      <c r="H768" t="s">
        <v>25</v>
      </c>
      <c r="I768" t="s">
        <v>514</v>
      </c>
      <c r="K768" t="s">
        <v>1084</v>
      </c>
      <c r="L768" s="11">
        <v>45968</v>
      </c>
    </row>
    <row r="769" spans="1:13" x14ac:dyDescent="0.2">
      <c r="A769">
        <f>_xlfn.XLOOKUP(D769, [1]Raphanus_specimens_all_2025!G:G, [1]Raphanus_specimens_all_2025!A:A, "")</f>
        <v>1474364</v>
      </c>
      <c r="B769">
        <v>1474364</v>
      </c>
      <c r="C769" t="s">
        <v>1077</v>
      </c>
      <c r="D769" t="s">
        <v>1223</v>
      </c>
      <c r="E769">
        <v>1996</v>
      </c>
      <c r="F769" t="s">
        <v>671</v>
      </c>
      <c r="G769" t="s">
        <v>437</v>
      </c>
      <c r="H769" t="s">
        <v>1221</v>
      </c>
      <c r="K769" t="s">
        <v>1084</v>
      </c>
      <c r="L769" s="11">
        <v>45968</v>
      </c>
    </row>
    <row r="770" spans="1:13" x14ac:dyDescent="0.2">
      <c r="A770">
        <f>_xlfn.XLOOKUP(D770, [1]Raphanus_specimens_all_2025!G:G, [1]Raphanus_specimens_all_2025!A:A, "")</f>
        <v>1537502</v>
      </c>
      <c r="B770">
        <v>1537502</v>
      </c>
      <c r="C770" t="s">
        <v>1077</v>
      </c>
      <c r="D770" t="s">
        <v>1220</v>
      </c>
      <c r="E770">
        <v>1994</v>
      </c>
      <c r="F770" t="s">
        <v>850</v>
      </c>
      <c r="G770" t="s">
        <v>18</v>
      </c>
      <c r="H770" t="s">
        <v>1221</v>
      </c>
      <c r="K770" t="s">
        <v>1084</v>
      </c>
      <c r="L770" s="11">
        <v>45968</v>
      </c>
    </row>
    <row r="771" spans="1:13" x14ac:dyDescent="0.2">
      <c r="A771">
        <f>_xlfn.XLOOKUP(D771, [1]Raphanus_specimens_all_2025!G:G, [1]Raphanus_specimens_all_2025!A:A, "")</f>
        <v>1443128</v>
      </c>
      <c r="B771">
        <v>1443128</v>
      </c>
      <c r="C771" t="s">
        <v>1077</v>
      </c>
      <c r="D771" t="s">
        <v>1226</v>
      </c>
      <c r="E771">
        <v>1980</v>
      </c>
      <c r="F771" t="s">
        <v>1229</v>
      </c>
      <c r="G771" t="s">
        <v>785</v>
      </c>
      <c r="H771" t="s">
        <v>1228</v>
      </c>
      <c r="K771" t="s">
        <v>1084</v>
      </c>
      <c r="L771" s="11">
        <v>45968</v>
      </c>
    </row>
    <row r="772" spans="1:13" x14ac:dyDescent="0.2">
      <c r="A772">
        <f>_xlfn.XLOOKUP(D772, [1]Raphanus_specimens_all_2025!G:G, [1]Raphanus_specimens_all_2025!A:A, "")</f>
        <v>1493728</v>
      </c>
      <c r="B772">
        <v>1493728</v>
      </c>
      <c r="C772" t="s">
        <v>1077</v>
      </c>
      <c r="D772" t="s">
        <v>1230</v>
      </c>
      <c r="E772">
        <v>1993</v>
      </c>
      <c r="F772" t="s">
        <v>671</v>
      </c>
      <c r="G772" t="s">
        <v>785</v>
      </c>
      <c r="H772" t="s">
        <v>670</v>
      </c>
      <c r="K772" t="s">
        <v>1086</v>
      </c>
      <c r="L772" s="11">
        <v>45968</v>
      </c>
    </row>
    <row r="773" spans="1:13" x14ac:dyDescent="0.2">
      <c r="A773">
        <f>_xlfn.XLOOKUP(D773, [1]Raphanus_specimens_all_2025!G:G, [1]Raphanus_specimens_all_2025!A:A, "")</f>
        <v>1467990</v>
      </c>
      <c r="B773">
        <v>1467990</v>
      </c>
      <c r="C773" t="s">
        <v>1077</v>
      </c>
      <c r="D773" t="s">
        <v>1233</v>
      </c>
      <c r="E773">
        <v>1996</v>
      </c>
      <c r="F773" t="s">
        <v>1015</v>
      </c>
      <c r="G773" t="s">
        <v>11</v>
      </c>
      <c r="H773" t="s">
        <v>791</v>
      </c>
      <c r="I773" t="s">
        <v>1234</v>
      </c>
      <c r="K773" t="s">
        <v>1081</v>
      </c>
      <c r="L773" s="11">
        <v>45971</v>
      </c>
    </row>
    <row r="774" spans="1:13" x14ac:dyDescent="0.2">
      <c r="A774">
        <f>_xlfn.XLOOKUP(D774, [1]Raphanus_specimens_all_2025!G:G, [1]Raphanus_specimens_all_2025!A:A, "")</f>
        <v>1474360</v>
      </c>
      <c r="B774">
        <v>1474360</v>
      </c>
      <c r="C774" t="s">
        <v>1077</v>
      </c>
      <c r="D774" t="s">
        <v>1231</v>
      </c>
      <c r="E774">
        <v>1997</v>
      </c>
      <c r="F774" t="s">
        <v>503</v>
      </c>
      <c r="G774" t="s">
        <v>11</v>
      </c>
      <c r="H774" t="s">
        <v>791</v>
      </c>
      <c r="I774" t="s">
        <v>1232</v>
      </c>
      <c r="K774" t="s">
        <v>1084</v>
      </c>
      <c r="L774" s="11">
        <v>45971</v>
      </c>
    </row>
    <row r="775" spans="1:13" x14ac:dyDescent="0.2">
      <c r="A775">
        <f>_xlfn.XLOOKUP(D775, [1]Raphanus_specimens_all_2025!G:G, [1]Raphanus_specimens_all_2025!A:A, "")</f>
        <v>1443133</v>
      </c>
      <c r="B775">
        <v>1443133</v>
      </c>
      <c r="C775" t="s">
        <v>1077</v>
      </c>
      <c r="D775" t="s">
        <v>1241</v>
      </c>
      <c r="E775">
        <v>1965</v>
      </c>
      <c r="F775" t="s">
        <v>671</v>
      </c>
      <c r="G775" t="s">
        <v>696</v>
      </c>
      <c r="H775" t="s">
        <v>906</v>
      </c>
      <c r="K775" t="s">
        <v>1081</v>
      </c>
      <c r="L775" s="11">
        <v>45971</v>
      </c>
    </row>
    <row r="776" spans="1:13" x14ac:dyDescent="0.2">
      <c r="A776">
        <f>_xlfn.XLOOKUP(D776, [1]Raphanus_specimens_all_2025!G:G, [1]Raphanus_specimens_all_2025!A:A, "")</f>
        <v>1617536</v>
      </c>
      <c r="B776">
        <v>1617536</v>
      </c>
      <c r="C776" t="s">
        <v>1077</v>
      </c>
      <c r="D776" t="s">
        <v>1240</v>
      </c>
      <c r="E776">
        <v>1992</v>
      </c>
      <c r="F776" t="s">
        <v>1015</v>
      </c>
      <c r="G776" t="s">
        <v>696</v>
      </c>
      <c r="H776" t="s">
        <v>906</v>
      </c>
      <c r="K776" t="s">
        <v>1081</v>
      </c>
      <c r="L776" s="11">
        <v>45971</v>
      </c>
    </row>
    <row r="777" spans="1:13" x14ac:dyDescent="0.2">
      <c r="A777">
        <v>738882</v>
      </c>
      <c r="B777">
        <v>738882</v>
      </c>
      <c r="C777" t="s">
        <v>1077</v>
      </c>
      <c r="D777" t="s">
        <v>1238</v>
      </c>
      <c r="E777">
        <v>1968</v>
      </c>
      <c r="F777" t="s">
        <v>286</v>
      </c>
      <c r="G777" t="s">
        <v>437</v>
      </c>
      <c r="H777" t="s">
        <v>906</v>
      </c>
      <c r="K777" t="s">
        <v>1084</v>
      </c>
      <c r="L777" s="11">
        <v>45971</v>
      </c>
    </row>
    <row r="778" spans="1:13" x14ac:dyDescent="0.2">
      <c r="A778">
        <f>_xlfn.XLOOKUP(D778, [1]Raphanus_specimens_all_2025!G:G, [1]Raphanus_specimens_all_2025!A:A, "")</f>
        <v>1443129</v>
      </c>
      <c r="B778">
        <v>1443129</v>
      </c>
      <c r="C778" t="s">
        <v>1077</v>
      </c>
      <c r="D778" t="s">
        <v>1242</v>
      </c>
      <c r="E778">
        <v>1981</v>
      </c>
      <c r="F778" t="s">
        <v>503</v>
      </c>
      <c r="G778" t="s">
        <v>437</v>
      </c>
      <c r="H778" t="s">
        <v>1243</v>
      </c>
      <c r="I778" t="s">
        <v>418</v>
      </c>
      <c r="K778" t="s">
        <v>1081</v>
      </c>
      <c r="L778" s="11">
        <v>45971</v>
      </c>
    </row>
    <row r="779" spans="1:13" x14ac:dyDescent="0.2">
      <c r="A779">
        <f>_xlfn.XLOOKUP(D779, [1]Raphanus_specimens_all_2025!G:G, [1]Raphanus_specimens_all_2025!A:A, "")</f>
        <v>1563687</v>
      </c>
      <c r="B779">
        <v>1563687</v>
      </c>
      <c r="C779" t="s">
        <v>1077</v>
      </c>
      <c r="D779" t="s">
        <v>1239</v>
      </c>
      <c r="E779">
        <v>1967</v>
      </c>
      <c r="F779" t="s">
        <v>286</v>
      </c>
      <c r="G779" t="s">
        <v>18</v>
      </c>
      <c r="H779" t="s">
        <v>306</v>
      </c>
      <c r="I779" t="s">
        <v>631</v>
      </c>
      <c r="K779" t="s">
        <v>1084</v>
      </c>
      <c r="L779" s="11">
        <v>45971</v>
      </c>
    </row>
    <row r="780" spans="1:13" x14ac:dyDescent="0.2">
      <c r="A780">
        <f>_xlfn.XLOOKUP(D780, [1]Raphanus_specimens_all_2025!G:G, [1]Raphanus_specimens_all_2025!A:A, "")</f>
        <v>1459130</v>
      </c>
      <c r="B780">
        <v>1459130</v>
      </c>
      <c r="C780" t="s">
        <v>1077</v>
      </c>
      <c r="D780" t="s">
        <v>1237</v>
      </c>
      <c r="E780">
        <v>1986</v>
      </c>
      <c r="F780" t="s">
        <v>286</v>
      </c>
      <c r="G780" t="s">
        <v>18</v>
      </c>
      <c r="H780" t="s">
        <v>25</v>
      </c>
      <c r="K780" t="s">
        <v>1081</v>
      </c>
      <c r="L780" s="11">
        <v>45971</v>
      </c>
    </row>
    <row r="781" spans="1:13" x14ac:dyDescent="0.2">
      <c r="A781">
        <f>_xlfn.XLOOKUP(D781, [1]Raphanus_specimens_all_2025!G:G, [1]Raphanus_specimens_all_2025!A:A, "")</f>
        <v>1459128</v>
      </c>
      <c r="B781">
        <v>1459128</v>
      </c>
      <c r="C781" t="s">
        <v>1077</v>
      </c>
      <c r="D781" t="s">
        <v>1267</v>
      </c>
      <c r="E781">
        <v>1988</v>
      </c>
      <c r="F781" t="s">
        <v>671</v>
      </c>
      <c r="G781" t="s">
        <v>785</v>
      </c>
      <c r="H781" t="s">
        <v>791</v>
      </c>
      <c r="K781" t="s">
        <v>1084</v>
      </c>
      <c r="L781" s="11">
        <v>45971</v>
      </c>
      <c r="M781" t="s">
        <v>1273</v>
      </c>
    </row>
    <row r="782" spans="1:13" x14ac:dyDescent="0.2">
      <c r="A782">
        <f>_xlfn.XLOOKUP(D782, [1]Raphanus_specimens_all_2025!G:G, [1]Raphanus_specimens_all_2025!A:A, "")</f>
        <v>1474357</v>
      </c>
      <c r="B782">
        <v>1474357</v>
      </c>
      <c r="C782" t="s">
        <v>1235</v>
      </c>
      <c r="D782" t="s">
        <v>1236</v>
      </c>
      <c r="E782">
        <v>1997</v>
      </c>
      <c r="F782" t="s">
        <v>594</v>
      </c>
      <c r="G782" t="s">
        <v>18</v>
      </c>
      <c r="H782" t="s">
        <v>306</v>
      </c>
      <c r="K782" t="s">
        <v>1084</v>
      </c>
      <c r="L782" s="11">
        <v>45971</v>
      </c>
    </row>
    <row r="783" spans="1:13" x14ac:dyDescent="0.2">
      <c r="A783">
        <f>_xlfn.XLOOKUP(D783, [1]Raphanus_specimens_all_2025!G:G, [1]Raphanus_specimens_all_2025!A:A, "")</f>
        <v>304569</v>
      </c>
      <c r="B783">
        <v>304569</v>
      </c>
      <c r="C783" t="s">
        <v>63</v>
      </c>
      <c r="D783" t="s">
        <v>109</v>
      </c>
      <c r="E783">
        <v>1958</v>
      </c>
      <c r="F783" t="s">
        <v>9</v>
      </c>
      <c r="G783" t="s">
        <v>110</v>
      </c>
      <c r="H783" t="s">
        <v>78</v>
      </c>
    </row>
    <row r="784" spans="1:13" x14ac:dyDescent="0.2">
      <c r="A784">
        <f>_xlfn.XLOOKUP(D784, [1]Raphanus_specimens_all_2025!G:G, [1]Raphanus_specimens_all_2025!A:A, "")</f>
        <v>330070</v>
      </c>
      <c r="B784">
        <v>330070</v>
      </c>
      <c r="C784" t="s">
        <v>63</v>
      </c>
      <c r="D784" t="s">
        <v>119</v>
      </c>
      <c r="E784">
        <v>1980</v>
      </c>
      <c r="F784" t="s">
        <v>9</v>
      </c>
      <c r="G784" t="s">
        <v>110</v>
      </c>
      <c r="H784" t="s">
        <v>120</v>
      </c>
    </row>
    <row r="785" spans="1:8" x14ac:dyDescent="0.2">
      <c r="A785">
        <f>_xlfn.XLOOKUP(D785, [1]Raphanus_specimens_all_2025!G:G, [1]Raphanus_specimens_all_2025!A:A, "")</f>
        <v>304566</v>
      </c>
      <c r="B785">
        <v>304566</v>
      </c>
      <c r="C785" t="s">
        <v>63</v>
      </c>
      <c r="D785" t="s">
        <v>111</v>
      </c>
      <c r="E785">
        <v>1882</v>
      </c>
      <c r="F785" t="s">
        <v>9</v>
      </c>
      <c r="G785" t="s">
        <v>11</v>
      </c>
      <c r="H785" t="s">
        <v>25</v>
      </c>
    </row>
    <row r="786" spans="1:8" x14ac:dyDescent="0.2">
      <c r="A786">
        <f>_xlfn.XLOOKUP(D786, [1]Raphanus_specimens_all_2025!G:G, [1]Raphanus_specimens_all_2025!A:A, "")</f>
        <v>304556</v>
      </c>
      <c r="B786">
        <v>304556</v>
      </c>
      <c r="C786" t="s">
        <v>63</v>
      </c>
      <c r="D786" t="s">
        <v>91</v>
      </c>
      <c r="E786">
        <v>1945</v>
      </c>
      <c r="F786" t="s">
        <v>9</v>
      </c>
      <c r="G786" t="s">
        <v>11</v>
      </c>
      <c r="H786" t="s">
        <v>92</v>
      </c>
    </row>
    <row r="787" spans="1:8" x14ac:dyDescent="0.2">
      <c r="A787">
        <f>_xlfn.XLOOKUP(D787, [1]Raphanus_specimens_all_2025!G:G, [1]Raphanus_specimens_all_2025!A:A, "")</f>
        <v>304543</v>
      </c>
      <c r="B787">
        <v>304543</v>
      </c>
      <c r="C787" t="s">
        <v>63</v>
      </c>
      <c r="D787" t="s">
        <v>90</v>
      </c>
      <c r="E787">
        <v>1948</v>
      </c>
      <c r="F787" t="s">
        <v>9</v>
      </c>
      <c r="G787" t="s">
        <v>11</v>
      </c>
    </row>
    <row r="788" spans="1:8" x14ac:dyDescent="0.2">
      <c r="A788">
        <f>_xlfn.XLOOKUP(D788, [1]Raphanus_specimens_all_2025!G:G, [1]Raphanus_specimens_all_2025!A:A, "")</f>
        <v>304554</v>
      </c>
      <c r="B788">
        <v>304554</v>
      </c>
      <c r="C788" t="s">
        <v>63</v>
      </c>
      <c r="D788" t="s">
        <v>84</v>
      </c>
      <c r="E788">
        <v>1953</v>
      </c>
      <c r="F788" t="s">
        <v>9</v>
      </c>
      <c r="G788" t="s">
        <v>11</v>
      </c>
      <c r="H788" t="s">
        <v>85</v>
      </c>
    </row>
    <row r="789" spans="1:8" x14ac:dyDescent="0.2">
      <c r="A789">
        <f>_xlfn.XLOOKUP(D789, [1]Raphanus_specimens_all_2025!G:G, [1]Raphanus_specimens_all_2025!A:A, "")</f>
        <v>304571</v>
      </c>
      <c r="B789">
        <v>304571</v>
      </c>
      <c r="C789" t="s">
        <v>63</v>
      </c>
      <c r="D789" t="s">
        <v>106</v>
      </c>
      <c r="E789">
        <v>1953</v>
      </c>
      <c r="F789" t="s">
        <v>9</v>
      </c>
      <c r="G789" t="s">
        <v>11</v>
      </c>
      <c r="H789" t="s">
        <v>104</v>
      </c>
    </row>
    <row r="790" spans="1:8" x14ac:dyDescent="0.2">
      <c r="A790">
        <f>_xlfn.XLOOKUP(D790, [1]Raphanus_specimens_all_2025!G:G, [1]Raphanus_specimens_all_2025!A:A, "")</f>
        <v>304567</v>
      </c>
      <c r="B790">
        <v>304567</v>
      </c>
      <c r="C790" t="s">
        <v>63</v>
      </c>
      <c r="D790" t="s">
        <v>112</v>
      </c>
      <c r="E790">
        <v>1955</v>
      </c>
      <c r="F790" t="s">
        <v>9</v>
      </c>
      <c r="G790" t="s">
        <v>11</v>
      </c>
      <c r="H790" t="s">
        <v>25</v>
      </c>
    </row>
    <row r="791" spans="1:8" x14ac:dyDescent="0.2">
      <c r="A791">
        <f>_xlfn.XLOOKUP(D791, [1]Raphanus_specimens_all_2025!G:G, [1]Raphanus_specimens_all_2025!A:A, "")</f>
        <v>304602</v>
      </c>
      <c r="B791">
        <v>304602</v>
      </c>
      <c r="C791" t="s">
        <v>63</v>
      </c>
      <c r="D791" t="s">
        <v>126</v>
      </c>
      <c r="E791">
        <v>1956</v>
      </c>
      <c r="F791" t="s">
        <v>128</v>
      </c>
      <c r="G791" t="s">
        <v>11</v>
      </c>
      <c r="H791" t="s">
        <v>127</v>
      </c>
    </row>
    <row r="792" spans="1:8" x14ac:dyDescent="0.2">
      <c r="A792">
        <f>_xlfn.XLOOKUP(D792, [1]Raphanus_specimens_all_2025!G:G, [1]Raphanus_specimens_all_2025!A:A, "")</f>
        <v>304594</v>
      </c>
      <c r="B792">
        <v>304594</v>
      </c>
      <c r="C792" t="s">
        <v>63</v>
      </c>
      <c r="D792" t="s">
        <v>135</v>
      </c>
      <c r="E792">
        <v>1957</v>
      </c>
      <c r="F792" t="s">
        <v>9</v>
      </c>
      <c r="G792" t="s">
        <v>11</v>
      </c>
      <c r="H792" t="s">
        <v>25</v>
      </c>
    </row>
    <row r="793" spans="1:8" x14ac:dyDescent="0.2">
      <c r="A793">
        <f>_xlfn.XLOOKUP(D793, [1]Raphanus_specimens_all_2025!G:G, [1]Raphanus_specimens_all_2025!A:A, "")</f>
        <v>304570</v>
      </c>
      <c r="B793">
        <v>304570</v>
      </c>
      <c r="C793" t="s">
        <v>63</v>
      </c>
      <c r="D793" t="s">
        <v>105</v>
      </c>
      <c r="E793">
        <v>1958</v>
      </c>
      <c r="F793" t="s">
        <v>9</v>
      </c>
      <c r="G793" t="s">
        <v>11</v>
      </c>
      <c r="H793" t="s">
        <v>104</v>
      </c>
    </row>
    <row r="794" spans="1:8" x14ac:dyDescent="0.2">
      <c r="A794">
        <f>_xlfn.XLOOKUP(D794, [1]Raphanus_specimens_all_2025!G:G, [1]Raphanus_specimens_all_2025!A:A, "")</f>
        <v>304578</v>
      </c>
      <c r="B794">
        <v>304578</v>
      </c>
      <c r="C794" t="s">
        <v>63</v>
      </c>
      <c r="D794" t="s">
        <v>113</v>
      </c>
      <c r="E794">
        <v>1958</v>
      </c>
      <c r="F794" t="s">
        <v>9</v>
      </c>
      <c r="G794" t="s">
        <v>11</v>
      </c>
      <c r="H794" t="s">
        <v>25</v>
      </c>
    </row>
    <row r="795" spans="1:8" x14ac:dyDescent="0.2">
      <c r="A795">
        <f>_xlfn.XLOOKUP(D795, [1]Raphanus_specimens_all_2025!G:G, [1]Raphanus_specimens_all_2025!A:A, "")</f>
        <v>304551</v>
      </c>
      <c r="B795">
        <v>304551</v>
      </c>
      <c r="C795" t="s">
        <v>63</v>
      </c>
      <c r="D795" t="s">
        <v>87</v>
      </c>
      <c r="E795">
        <v>1959</v>
      </c>
      <c r="F795" t="s">
        <v>9</v>
      </c>
      <c r="G795" t="s">
        <v>11</v>
      </c>
      <c r="H795" t="s">
        <v>88</v>
      </c>
    </row>
    <row r="796" spans="1:8" x14ac:dyDescent="0.2">
      <c r="A796">
        <f>_xlfn.XLOOKUP(D796, [1]Raphanus_specimens_all_2025!G:G, [1]Raphanus_specimens_all_2025!A:A, "")</f>
        <v>304574</v>
      </c>
      <c r="B796">
        <v>304574</v>
      </c>
      <c r="C796" t="s">
        <v>63</v>
      </c>
      <c r="D796" t="s">
        <v>101</v>
      </c>
      <c r="E796">
        <v>1959</v>
      </c>
      <c r="F796" t="s">
        <v>9</v>
      </c>
      <c r="G796" t="s">
        <v>11</v>
      </c>
      <c r="H796" t="s">
        <v>25</v>
      </c>
    </row>
    <row r="797" spans="1:8" x14ac:dyDescent="0.2">
      <c r="A797">
        <f>_xlfn.XLOOKUP(D797, [1]Raphanus_specimens_all_2025!G:G, [1]Raphanus_specimens_all_2025!A:A, "")</f>
        <v>304605</v>
      </c>
      <c r="B797">
        <v>304605</v>
      </c>
      <c r="C797" t="s">
        <v>63</v>
      </c>
      <c r="D797" t="s">
        <v>124</v>
      </c>
      <c r="E797">
        <v>1959</v>
      </c>
      <c r="F797" t="s">
        <v>9</v>
      </c>
      <c r="G797" t="s">
        <v>11</v>
      </c>
      <c r="H797" t="s">
        <v>25</v>
      </c>
    </row>
    <row r="798" spans="1:8" x14ac:dyDescent="0.2">
      <c r="A798">
        <f>_xlfn.XLOOKUP(D798, [1]Raphanus_specimens_all_2025!G:G, [1]Raphanus_specimens_all_2025!A:A, "")</f>
        <v>304584</v>
      </c>
      <c r="B798">
        <v>304584</v>
      </c>
      <c r="C798" t="s">
        <v>63</v>
      </c>
      <c r="D798" s="2" t="s">
        <v>144</v>
      </c>
      <c r="E798">
        <v>1960</v>
      </c>
      <c r="F798" t="s">
        <v>9</v>
      </c>
      <c r="G798" t="s">
        <v>11</v>
      </c>
      <c r="H798" t="s">
        <v>143</v>
      </c>
    </row>
    <row r="799" spans="1:8" x14ac:dyDescent="0.2">
      <c r="A799">
        <f>_xlfn.XLOOKUP(D799, [1]Raphanus_specimens_all_2025!G:G, [1]Raphanus_specimens_all_2025!A:A, "")</f>
        <v>304601</v>
      </c>
      <c r="B799">
        <v>304601</v>
      </c>
      <c r="C799" t="s">
        <v>63</v>
      </c>
      <c r="D799" s="2" t="s">
        <v>129</v>
      </c>
      <c r="E799">
        <v>1961</v>
      </c>
      <c r="F799" t="s">
        <v>9</v>
      </c>
      <c r="G799" t="s">
        <v>11</v>
      </c>
      <c r="H799" t="s">
        <v>25</v>
      </c>
    </row>
    <row r="800" spans="1:8" x14ac:dyDescent="0.2">
      <c r="A800">
        <f>_xlfn.XLOOKUP(D800, [1]Raphanus_specimens_all_2025!G:G, [1]Raphanus_specimens_all_2025!A:A, "")</f>
        <v>304600</v>
      </c>
      <c r="B800">
        <v>304600</v>
      </c>
      <c r="C800" t="s">
        <v>63</v>
      </c>
      <c r="D800" t="s">
        <v>130</v>
      </c>
      <c r="E800">
        <v>1967</v>
      </c>
      <c r="F800" t="s">
        <v>9</v>
      </c>
      <c r="G800" t="s">
        <v>11</v>
      </c>
      <c r="H800" t="s">
        <v>115</v>
      </c>
    </row>
    <row r="801" spans="1:8" x14ac:dyDescent="0.2">
      <c r="A801">
        <f>_xlfn.XLOOKUP(D801, [1]Raphanus_specimens_all_2025!G:G, [1]Raphanus_specimens_all_2025!A:A, "")</f>
        <v>304577</v>
      </c>
      <c r="B801">
        <v>304577</v>
      </c>
      <c r="C801" t="s">
        <v>63</v>
      </c>
      <c r="D801" s="2" t="s">
        <v>99</v>
      </c>
      <c r="E801">
        <v>1971</v>
      </c>
      <c r="F801" t="s">
        <v>9</v>
      </c>
      <c r="G801" t="s">
        <v>11</v>
      </c>
      <c r="H801" t="s">
        <v>100</v>
      </c>
    </row>
    <row r="802" spans="1:8" x14ac:dyDescent="0.2">
      <c r="A802">
        <f>_xlfn.XLOOKUP(D802, [1]Raphanus_specimens_all_2025!G:G, [1]Raphanus_specimens_all_2025!A:A, "")</f>
        <v>304591</v>
      </c>
      <c r="B802">
        <v>304591</v>
      </c>
      <c r="C802" t="s">
        <v>63</v>
      </c>
      <c r="D802" t="s">
        <v>138</v>
      </c>
      <c r="E802">
        <v>1974</v>
      </c>
      <c r="F802" t="s">
        <v>9</v>
      </c>
      <c r="G802" t="s">
        <v>11</v>
      </c>
      <c r="H802" t="s">
        <v>25</v>
      </c>
    </row>
    <row r="803" spans="1:8" x14ac:dyDescent="0.2">
      <c r="A803">
        <f>_xlfn.XLOOKUP(D803, [1]Raphanus_specimens_all_2025!G:G, [1]Raphanus_specimens_all_2025!A:A, "")</f>
        <v>304555</v>
      </c>
      <c r="B803">
        <v>304555</v>
      </c>
      <c r="C803" t="s">
        <v>63</v>
      </c>
      <c r="D803" t="s">
        <v>82</v>
      </c>
      <c r="E803">
        <v>1978</v>
      </c>
      <c r="F803" t="s">
        <v>9</v>
      </c>
      <c r="G803" t="s">
        <v>11</v>
      </c>
      <c r="H803" t="s">
        <v>83</v>
      </c>
    </row>
    <row r="804" spans="1:8" x14ac:dyDescent="0.2">
      <c r="A804">
        <f>_xlfn.XLOOKUP(D804, [1]Raphanus_specimens_all_2025!G:G, [1]Raphanus_specimens_all_2025!A:A, "")</f>
        <v>304548</v>
      </c>
      <c r="B804">
        <v>304548</v>
      </c>
      <c r="C804" t="s">
        <v>63</v>
      </c>
      <c r="D804" t="s">
        <v>89</v>
      </c>
      <c r="E804">
        <v>1979</v>
      </c>
      <c r="F804" t="s">
        <v>9</v>
      </c>
      <c r="G804" t="s">
        <v>11</v>
      </c>
      <c r="H804" t="s">
        <v>85</v>
      </c>
    </row>
    <row r="805" spans="1:8" x14ac:dyDescent="0.2">
      <c r="A805">
        <f>_xlfn.XLOOKUP(D805, [1]Raphanus_specimens_all_2025!G:G, [1]Raphanus_specimens_all_2025!A:A, "")</f>
        <v>304557</v>
      </c>
      <c r="B805">
        <v>304557</v>
      </c>
      <c r="C805" t="s">
        <v>63</v>
      </c>
      <c r="D805" s="2" t="s">
        <v>93</v>
      </c>
      <c r="E805">
        <v>1979</v>
      </c>
      <c r="F805" t="s">
        <v>9</v>
      </c>
      <c r="G805" t="s">
        <v>11</v>
      </c>
      <c r="H805" t="s">
        <v>94</v>
      </c>
    </row>
    <row r="806" spans="1:8" x14ac:dyDescent="0.2">
      <c r="A806">
        <f>_xlfn.XLOOKUP(D806, [1]Raphanus_specimens_all_2025!G:G, [1]Raphanus_specimens_all_2025!A:A, "")</f>
        <v>304539</v>
      </c>
      <c r="B806">
        <v>304539</v>
      </c>
      <c r="C806" t="s">
        <v>63</v>
      </c>
      <c r="D806" s="2" t="s">
        <v>71</v>
      </c>
      <c r="E806">
        <v>1980</v>
      </c>
      <c r="F806" t="s">
        <v>9</v>
      </c>
      <c r="G806" t="s">
        <v>11</v>
      </c>
      <c r="H806" t="s">
        <v>70</v>
      </c>
    </row>
    <row r="807" spans="1:8" x14ac:dyDescent="0.2">
      <c r="A807">
        <f>_xlfn.XLOOKUP(D807, [1]Raphanus_specimens_all_2025!G:G, [1]Raphanus_specimens_all_2025!A:A, "")</f>
        <v>3726378</v>
      </c>
      <c r="B807">
        <v>3726378</v>
      </c>
      <c r="C807" t="s">
        <v>63</v>
      </c>
      <c r="D807" t="s">
        <v>80</v>
      </c>
      <c r="E807">
        <v>1980</v>
      </c>
      <c r="F807" t="s">
        <v>9</v>
      </c>
      <c r="G807" t="s">
        <v>11</v>
      </c>
      <c r="H807" t="s">
        <v>81</v>
      </c>
    </row>
    <row r="808" spans="1:8" x14ac:dyDescent="0.2">
      <c r="A808">
        <f>_xlfn.XLOOKUP(D808, [1]Raphanus_specimens_all_2025!G:G, [1]Raphanus_specimens_all_2025!A:A, "")</f>
        <v>304608</v>
      </c>
      <c r="B808">
        <v>304608</v>
      </c>
      <c r="C808" t="s">
        <v>63</v>
      </c>
      <c r="D808" t="s">
        <v>121</v>
      </c>
      <c r="E808">
        <v>1980</v>
      </c>
      <c r="F808" t="s">
        <v>9</v>
      </c>
      <c r="G808" t="s">
        <v>11</v>
      </c>
      <c r="H808" t="s">
        <v>120</v>
      </c>
    </row>
    <row r="809" spans="1:8" x14ac:dyDescent="0.2">
      <c r="A809">
        <f>_xlfn.XLOOKUP(D809, [1]Raphanus_specimens_all_2025!G:G, [1]Raphanus_specimens_all_2025!A:A, "")</f>
        <v>304538</v>
      </c>
      <c r="B809">
        <v>304538</v>
      </c>
      <c r="C809" t="s">
        <v>63</v>
      </c>
      <c r="D809" t="s">
        <v>72</v>
      </c>
      <c r="E809">
        <v>1983</v>
      </c>
      <c r="F809" t="s">
        <v>74</v>
      </c>
      <c r="G809" t="s">
        <v>11</v>
      </c>
      <c r="H809" t="s">
        <v>73</v>
      </c>
    </row>
    <row r="810" spans="1:8" x14ac:dyDescent="0.2">
      <c r="A810">
        <f>_xlfn.XLOOKUP(D810, [1]Raphanus_specimens_all_2025!G:G, [1]Raphanus_specimens_all_2025!A:A, "")</f>
        <v>1896191</v>
      </c>
      <c r="B810">
        <v>1896191</v>
      </c>
      <c r="C810" t="s">
        <v>63</v>
      </c>
      <c r="D810" t="s">
        <v>117</v>
      </c>
      <c r="E810">
        <v>2005</v>
      </c>
      <c r="F810" t="s">
        <v>9</v>
      </c>
      <c r="G810" t="s">
        <v>11</v>
      </c>
      <c r="H810" t="s">
        <v>25</v>
      </c>
    </row>
    <row r="811" spans="1:8" x14ac:dyDescent="0.2">
      <c r="A811">
        <f>_xlfn.XLOOKUP(D811, [1]Raphanus_specimens_all_2025!G:G, [1]Raphanus_specimens_all_2025!A:A, "")</f>
        <v>292533</v>
      </c>
      <c r="B811">
        <v>292533</v>
      </c>
      <c r="C811" t="s">
        <v>63</v>
      </c>
      <c r="D811" t="s">
        <v>67</v>
      </c>
      <c r="E811">
        <v>2007</v>
      </c>
      <c r="F811" t="s">
        <v>9</v>
      </c>
      <c r="G811" t="s">
        <v>11</v>
      </c>
    </row>
    <row r="812" spans="1:8" x14ac:dyDescent="0.2">
      <c r="A812">
        <f>_xlfn.XLOOKUP(D812, [1]Raphanus_specimens_all_2025!G:G, [1]Raphanus_specimens_all_2025!A:A, "")</f>
        <v>304575</v>
      </c>
      <c r="B812">
        <v>304575</v>
      </c>
      <c r="C812" t="s">
        <v>63</v>
      </c>
      <c r="D812" s="2" t="s">
        <v>102</v>
      </c>
      <c r="E812">
        <v>1956</v>
      </c>
      <c r="F812" t="s">
        <v>9</v>
      </c>
      <c r="G812" t="s">
        <v>103</v>
      </c>
      <c r="H812" t="s">
        <v>104</v>
      </c>
    </row>
    <row r="813" spans="1:8" x14ac:dyDescent="0.2">
      <c r="A813">
        <f>_xlfn.XLOOKUP(D813, [1]Raphanus_specimens_all_2025!G:G, [1]Raphanus_specimens_all_2025!A:A, "")</f>
        <v>4064867</v>
      </c>
      <c r="B813">
        <v>4064867</v>
      </c>
      <c r="C813" t="s">
        <v>63</v>
      </c>
      <c r="D813" t="s">
        <v>114</v>
      </c>
      <c r="E813">
        <v>2017</v>
      </c>
      <c r="F813" t="s">
        <v>9</v>
      </c>
      <c r="G813" t="s">
        <v>116</v>
      </c>
      <c r="H813" t="s">
        <v>115</v>
      </c>
    </row>
    <row r="814" spans="1:8" x14ac:dyDescent="0.2">
      <c r="A814">
        <f>_xlfn.XLOOKUP(D814, [1]Raphanus_specimens_all_2025!G:G, [1]Raphanus_specimens_all_2025!A:A, "")</f>
        <v>304536</v>
      </c>
      <c r="B814">
        <v>304536</v>
      </c>
      <c r="C814" t="s">
        <v>63</v>
      </c>
      <c r="D814" t="s">
        <v>76</v>
      </c>
      <c r="E814">
        <v>1945</v>
      </c>
      <c r="F814" t="s">
        <v>9</v>
      </c>
      <c r="G814" t="s">
        <v>18</v>
      </c>
      <c r="H814" t="s">
        <v>78</v>
      </c>
    </row>
    <row r="815" spans="1:8" x14ac:dyDescent="0.2">
      <c r="A815">
        <f>_xlfn.XLOOKUP(D815, [1]Raphanus_specimens_all_2025!G:G, [1]Raphanus_specimens_all_2025!A:A, "")</f>
        <v>304537</v>
      </c>
      <c r="B815">
        <v>304537</v>
      </c>
      <c r="C815" t="s">
        <v>63</v>
      </c>
      <c r="D815" s="2" t="s">
        <v>75</v>
      </c>
      <c r="E815">
        <v>1953</v>
      </c>
      <c r="F815" t="s">
        <v>9</v>
      </c>
      <c r="G815" t="s">
        <v>18</v>
      </c>
      <c r="H815" t="s">
        <v>66</v>
      </c>
    </row>
    <row r="816" spans="1:8" x14ac:dyDescent="0.2">
      <c r="A816">
        <f>_xlfn.XLOOKUP(D816, [1]Raphanus_specimens_all_2025!G:G, [1]Raphanus_specimens_all_2025!A:A, "")</f>
        <v>304597</v>
      </c>
      <c r="B816">
        <v>304597</v>
      </c>
      <c r="C816" t="s">
        <v>63</v>
      </c>
      <c r="D816" t="s">
        <v>131</v>
      </c>
      <c r="E816">
        <v>1954</v>
      </c>
      <c r="F816" t="s">
        <v>9</v>
      </c>
      <c r="G816" t="s">
        <v>18</v>
      </c>
      <c r="H816" t="s">
        <v>25</v>
      </c>
    </row>
    <row r="817" spans="1:8" x14ac:dyDescent="0.2">
      <c r="A817">
        <f>_xlfn.XLOOKUP(D817, [1]Raphanus_specimens_all_2025!G:G, [1]Raphanus_specimens_all_2025!A:A, "")</f>
        <v>304573</v>
      </c>
      <c r="B817">
        <v>304573</v>
      </c>
      <c r="C817" t="s">
        <v>63</v>
      </c>
      <c r="D817" t="s">
        <v>108</v>
      </c>
      <c r="E817">
        <v>1956</v>
      </c>
      <c r="F817" t="s">
        <v>9</v>
      </c>
      <c r="G817" t="s">
        <v>18</v>
      </c>
      <c r="H817" t="s">
        <v>104</v>
      </c>
    </row>
    <row r="818" spans="1:8" x14ac:dyDescent="0.2">
      <c r="A818">
        <f>_xlfn.XLOOKUP(D818, [1]Raphanus_specimens_all_2025!G:G, [1]Raphanus_specimens_all_2025!A:A, "")</f>
        <v>304604</v>
      </c>
      <c r="B818">
        <v>304604</v>
      </c>
      <c r="C818" t="s">
        <v>63</v>
      </c>
      <c r="D818" t="s">
        <v>125</v>
      </c>
      <c r="E818">
        <v>1956</v>
      </c>
      <c r="F818" t="s">
        <v>9</v>
      </c>
      <c r="G818" t="s">
        <v>18</v>
      </c>
      <c r="H818" t="s">
        <v>115</v>
      </c>
    </row>
    <row r="819" spans="1:8" x14ac:dyDescent="0.2">
      <c r="A819">
        <f>_xlfn.XLOOKUP(D819, [1]Raphanus_specimens_all_2025!G:G, [1]Raphanus_specimens_all_2025!A:A, "")</f>
        <v>304552</v>
      </c>
      <c r="B819">
        <v>304552</v>
      </c>
      <c r="C819" t="s">
        <v>63</v>
      </c>
      <c r="D819" t="s">
        <v>86</v>
      </c>
      <c r="E819">
        <v>1958</v>
      </c>
      <c r="F819" t="s">
        <v>9</v>
      </c>
      <c r="G819" t="s">
        <v>18</v>
      </c>
      <c r="H819" t="s">
        <v>25</v>
      </c>
    </row>
    <row r="820" spans="1:8" x14ac:dyDescent="0.2">
      <c r="A820">
        <f>_xlfn.XLOOKUP(D820, [1]Raphanus_specimens_all_2025!G:G, [1]Raphanus_specimens_all_2025!A:A, "")</f>
        <v>304572</v>
      </c>
      <c r="B820">
        <v>304572</v>
      </c>
      <c r="C820" t="s">
        <v>63</v>
      </c>
      <c r="D820" t="s">
        <v>107</v>
      </c>
      <c r="E820">
        <v>1958</v>
      </c>
      <c r="F820" t="s">
        <v>9</v>
      </c>
      <c r="G820" t="s">
        <v>18</v>
      </c>
      <c r="H820" t="s">
        <v>104</v>
      </c>
    </row>
    <row r="821" spans="1:8" x14ac:dyDescent="0.2">
      <c r="A821">
        <f>_xlfn.XLOOKUP(D821, [1]Raphanus_specimens_all_2025!G:G, [1]Raphanus_specimens_all_2025!A:A, "")</f>
        <v>304582</v>
      </c>
      <c r="B821">
        <v>304582</v>
      </c>
      <c r="C821" t="s">
        <v>63</v>
      </c>
      <c r="D821" s="2" t="s">
        <v>141</v>
      </c>
      <c r="E821">
        <v>1960</v>
      </c>
      <c r="F821" t="s">
        <v>9</v>
      </c>
      <c r="G821" t="s">
        <v>18</v>
      </c>
      <c r="H821" t="s">
        <v>142</v>
      </c>
    </row>
    <row r="822" spans="1:8" x14ac:dyDescent="0.2">
      <c r="A822">
        <f>_xlfn.XLOOKUP(D822, [1]Raphanus_specimens_all_2025!G:G, [1]Raphanus_specimens_all_2025!A:A, "")</f>
        <v>304535</v>
      </c>
      <c r="B822">
        <v>304535</v>
      </c>
      <c r="C822" t="s">
        <v>63</v>
      </c>
      <c r="D822" s="2" t="s">
        <v>79</v>
      </c>
      <c r="E822">
        <v>1962</v>
      </c>
      <c r="F822" t="s">
        <v>9</v>
      </c>
      <c r="G822" t="s">
        <v>18</v>
      </c>
      <c r="H822" t="s">
        <v>77</v>
      </c>
    </row>
    <row r="823" spans="1:8" x14ac:dyDescent="0.2">
      <c r="A823">
        <f>_xlfn.XLOOKUP(D823, [1]Raphanus_specimens_all_2025!G:G, [1]Raphanus_specimens_all_2025!A:A, "")</f>
        <v>304598</v>
      </c>
      <c r="B823">
        <v>304598</v>
      </c>
      <c r="C823" t="s">
        <v>63</v>
      </c>
      <c r="D823" t="s">
        <v>132</v>
      </c>
      <c r="E823">
        <v>1963</v>
      </c>
      <c r="F823" t="s">
        <v>9</v>
      </c>
      <c r="G823" t="s">
        <v>18</v>
      </c>
      <c r="H823" t="s">
        <v>133</v>
      </c>
    </row>
    <row r="824" spans="1:8" x14ac:dyDescent="0.2">
      <c r="A824">
        <f>_xlfn.XLOOKUP(D824, [1]Raphanus_specimens_all_2025!G:G, [1]Raphanus_specimens_all_2025!A:A, "")</f>
        <v>304593</v>
      </c>
      <c r="B824">
        <v>304593</v>
      </c>
      <c r="C824" t="s">
        <v>63</v>
      </c>
      <c r="D824" t="s">
        <v>136</v>
      </c>
      <c r="E824">
        <v>1971</v>
      </c>
      <c r="F824" t="s">
        <v>9</v>
      </c>
      <c r="G824" t="s">
        <v>18</v>
      </c>
      <c r="H824" t="s">
        <v>137</v>
      </c>
    </row>
    <row r="825" spans="1:8" x14ac:dyDescent="0.2">
      <c r="A825">
        <f>_xlfn.XLOOKUP(D825, [1]Raphanus_specimens_all_2025!G:G, [1]Raphanus_specimens_all_2025!A:A, "")</f>
        <v>304540</v>
      </c>
      <c r="B825">
        <v>304540</v>
      </c>
      <c r="C825" t="s">
        <v>63</v>
      </c>
      <c r="D825" s="2" t="s">
        <v>69</v>
      </c>
      <c r="E825">
        <v>1980</v>
      </c>
      <c r="F825" t="s">
        <v>9</v>
      </c>
      <c r="G825" t="s">
        <v>18</v>
      </c>
      <c r="H825" t="s">
        <v>25</v>
      </c>
    </row>
    <row r="826" spans="1:8" x14ac:dyDescent="0.2">
      <c r="A826">
        <f>_xlfn.XLOOKUP(D826, [1]Raphanus_specimens_all_2025!G:G, [1]Raphanus_specimens_all_2025!A:A, "")</f>
        <v>304607</v>
      </c>
      <c r="B826">
        <v>304607</v>
      </c>
      <c r="C826" t="s">
        <v>63</v>
      </c>
      <c r="D826" t="s">
        <v>122</v>
      </c>
      <c r="E826">
        <v>1981</v>
      </c>
      <c r="F826" t="s">
        <v>9</v>
      </c>
      <c r="G826" t="s">
        <v>18</v>
      </c>
      <c r="H826" t="s">
        <v>123</v>
      </c>
    </row>
    <row r="827" spans="1:8" x14ac:dyDescent="0.2">
      <c r="A827">
        <f>_xlfn.XLOOKUP(D827, [1]Raphanus_specimens_all_2025!G:G, [1]Raphanus_specimens_all_2025!A:A, "")</f>
        <v>291609</v>
      </c>
      <c r="B827">
        <v>291609</v>
      </c>
      <c r="C827" t="s">
        <v>63</v>
      </c>
      <c r="D827" t="s">
        <v>134</v>
      </c>
      <c r="E827">
        <v>1981</v>
      </c>
      <c r="F827" t="s">
        <v>9</v>
      </c>
      <c r="G827" t="s">
        <v>18</v>
      </c>
      <c r="H827" t="s">
        <v>25</v>
      </c>
    </row>
    <row r="828" spans="1:8" x14ac:dyDescent="0.2">
      <c r="A828" t="s">
        <v>845</v>
      </c>
      <c r="B828" t="s">
        <v>845</v>
      </c>
      <c r="C828" t="s">
        <v>63</v>
      </c>
      <c r="D828" s="2" t="s">
        <v>64</v>
      </c>
      <c r="E828">
        <v>1987</v>
      </c>
      <c r="F828" t="s">
        <v>9</v>
      </c>
      <c r="G828" t="s">
        <v>18</v>
      </c>
      <c r="H828" t="s">
        <v>66</v>
      </c>
    </row>
    <row r="829" spans="1:8" x14ac:dyDescent="0.2">
      <c r="A829">
        <f>_xlfn.XLOOKUP(D829, [1]Raphanus_specimens_all_2025!G:G, [1]Raphanus_specimens_all_2025!A:A, "")</f>
        <v>304562</v>
      </c>
      <c r="B829">
        <v>304562</v>
      </c>
      <c r="C829" t="s">
        <v>63</v>
      </c>
      <c r="D829" t="s">
        <v>95</v>
      </c>
      <c r="E829">
        <v>1988</v>
      </c>
      <c r="F829" t="s">
        <v>9</v>
      </c>
      <c r="G829" t="s">
        <v>18</v>
      </c>
      <c r="H829" t="s">
        <v>25</v>
      </c>
    </row>
    <row r="830" spans="1:8" x14ac:dyDescent="0.2">
      <c r="A830">
        <f>_xlfn.XLOOKUP(D830, [1]Raphanus_specimens_all_2025!G:G, [1]Raphanus_specimens_all_2025!A:A, "")</f>
        <v>304590</v>
      </c>
      <c r="B830">
        <v>304590</v>
      </c>
      <c r="C830" t="s">
        <v>63</v>
      </c>
      <c r="D830" t="s">
        <v>140</v>
      </c>
      <c r="E830">
        <v>1988</v>
      </c>
      <c r="F830" t="s">
        <v>9</v>
      </c>
      <c r="G830" t="s">
        <v>18</v>
      </c>
      <c r="H830" t="s">
        <v>25</v>
      </c>
    </row>
    <row r="831" spans="1:8" x14ac:dyDescent="0.2">
      <c r="A831">
        <f>_xlfn.XLOOKUP(D831, [1]Raphanus_specimens_all_2025!G:G, [1]Raphanus_specimens_all_2025!A:A, "")</f>
        <v>293450</v>
      </c>
      <c r="B831">
        <v>293450</v>
      </c>
      <c r="C831" t="s">
        <v>63</v>
      </c>
      <c r="D831" t="s">
        <v>139</v>
      </c>
      <c r="E831">
        <v>2001</v>
      </c>
      <c r="F831" t="s">
        <v>9</v>
      </c>
      <c r="G831" t="s">
        <v>18</v>
      </c>
      <c r="H831" t="s">
        <v>25</v>
      </c>
    </row>
    <row r="832" spans="1:8" x14ac:dyDescent="0.2">
      <c r="A832">
        <f>_xlfn.XLOOKUP(D832, [1]Raphanus_specimens_all_2025!G:G, [1]Raphanus_specimens_all_2025!A:A, "")</f>
        <v>330069</v>
      </c>
      <c r="B832">
        <v>330069</v>
      </c>
      <c r="C832" t="s">
        <v>63</v>
      </c>
      <c r="D832" t="s">
        <v>118</v>
      </c>
      <c r="E832">
        <v>2002</v>
      </c>
      <c r="F832" t="s">
        <v>9</v>
      </c>
      <c r="G832" t="s">
        <v>18</v>
      </c>
      <c r="H832" t="s">
        <v>25</v>
      </c>
    </row>
    <row r="833" spans="1:10" x14ac:dyDescent="0.2">
      <c r="A833">
        <f>_xlfn.XLOOKUP(D833, [1]Raphanus_specimens_all_2025!G:G, [1]Raphanus_specimens_all_2025!A:A, "")</f>
        <v>1895626</v>
      </c>
      <c r="B833">
        <v>1895626</v>
      </c>
      <c r="C833" t="s">
        <v>63</v>
      </c>
      <c r="D833" t="s">
        <v>98</v>
      </c>
      <c r="E833">
        <v>2009</v>
      </c>
      <c r="F833" t="s">
        <v>9</v>
      </c>
      <c r="G833" t="s">
        <v>18</v>
      </c>
      <c r="H833" t="s">
        <v>78</v>
      </c>
    </row>
    <row r="834" spans="1:10" x14ac:dyDescent="0.2">
      <c r="A834">
        <f>_xlfn.XLOOKUP(D834, [1]Raphanus_specimens_all_2025!G:G, [1]Raphanus_specimens_all_2025!A:A, "")</f>
        <v>317992</v>
      </c>
      <c r="B834">
        <v>317992</v>
      </c>
      <c r="C834" t="s">
        <v>63</v>
      </c>
      <c r="D834" s="2" t="s">
        <v>68</v>
      </c>
      <c r="E834">
        <v>1979</v>
      </c>
      <c r="F834" t="s">
        <v>9</v>
      </c>
      <c r="G834" t="s">
        <v>34</v>
      </c>
      <c r="H834" t="s">
        <v>12</v>
      </c>
    </row>
    <row r="835" spans="1:10" x14ac:dyDescent="0.2">
      <c r="A835">
        <f>_xlfn.XLOOKUP(D835, [1]Raphanus_specimens_all_2025!G:G, [1]Raphanus_specimens_all_2025!A:A, "")</f>
        <v>304564</v>
      </c>
      <c r="B835">
        <v>304564</v>
      </c>
      <c r="C835" t="s">
        <v>63</v>
      </c>
      <c r="D835" s="2" t="s">
        <v>96</v>
      </c>
      <c r="E835">
        <v>1993</v>
      </c>
      <c r="F835" t="s">
        <v>9</v>
      </c>
      <c r="G835" t="s">
        <v>34</v>
      </c>
      <c r="H835" t="s">
        <v>97</v>
      </c>
    </row>
    <row r="836" spans="1:10" x14ac:dyDescent="0.2">
      <c r="A836">
        <f>_xlfn.XLOOKUP(D836, [1]Raphanus_specimens_all_2025!G:G, [1]Raphanus_specimens_all_2025!A:A, "")</f>
        <v>3964300</v>
      </c>
      <c r="B836">
        <v>3964300</v>
      </c>
      <c r="C836" t="s">
        <v>63</v>
      </c>
      <c r="D836" t="s">
        <v>65</v>
      </c>
      <c r="E836">
        <v>2017</v>
      </c>
      <c r="F836" t="s">
        <v>9</v>
      </c>
      <c r="G836" t="s">
        <v>34</v>
      </c>
      <c r="H836" t="s">
        <v>15</v>
      </c>
    </row>
    <row r="837" spans="1:10" x14ac:dyDescent="0.2">
      <c r="A837">
        <f>_xlfn.XLOOKUP(D837, [1]Raphanus_specimens_all_2025!G:G, [1]Raphanus_specimens_all_2025!A:A, "")</f>
        <v>235906</v>
      </c>
      <c r="B837">
        <v>235906</v>
      </c>
      <c r="C837" t="s">
        <v>175</v>
      </c>
      <c r="D837" t="s">
        <v>210</v>
      </c>
      <c r="E837">
        <v>2011</v>
      </c>
      <c r="F837" t="s">
        <v>211</v>
      </c>
      <c r="G837" t="s">
        <v>110</v>
      </c>
      <c r="H837" t="s">
        <v>209</v>
      </c>
      <c r="I837" t="s">
        <v>218</v>
      </c>
      <c r="J837" t="s">
        <v>177</v>
      </c>
    </row>
    <row r="838" spans="1:10" x14ac:dyDescent="0.2">
      <c r="A838">
        <f>_xlfn.XLOOKUP(D838, [1]Raphanus_specimens_all_2025!G:G, [1]Raphanus_specimens_all_2025!A:A, "")</f>
        <v>231694</v>
      </c>
      <c r="B838">
        <v>231694</v>
      </c>
      <c r="C838" t="s">
        <v>175</v>
      </c>
      <c r="D838" t="s">
        <v>206</v>
      </c>
      <c r="E838">
        <v>1994</v>
      </c>
      <c r="F838" t="s">
        <v>196</v>
      </c>
      <c r="G838" t="s">
        <v>11</v>
      </c>
      <c r="H838" t="s">
        <v>207</v>
      </c>
      <c r="J838" t="s">
        <v>177</v>
      </c>
    </row>
    <row r="839" spans="1:10" x14ac:dyDescent="0.2">
      <c r="A839">
        <f>_xlfn.XLOOKUP(D839, [1]Raphanus_specimens_all_2025!G:G, [1]Raphanus_specimens_all_2025!A:A, "")</f>
        <v>236400</v>
      </c>
      <c r="B839">
        <v>236400</v>
      </c>
      <c r="C839" t="s">
        <v>175</v>
      </c>
      <c r="D839" t="s">
        <v>212</v>
      </c>
      <c r="E839">
        <v>2011</v>
      </c>
      <c r="F839" t="s">
        <v>180</v>
      </c>
      <c r="G839" t="s">
        <v>11</v>
      </c>
      <c r="H839" t="s">
        <v>213</v>
      </c>
      <c r="I839" t="s">
        <v>217</v>
      </c>
      <c r="J839" t="s">
        <v>177</v>
      </c>
    </row>
    <row r="840" spans="1:10" x14ac:dyDescent="0.2">
      <c r="A840">
        <f>_xlfn.XLOOKUP(D840, [1]Raphanus_specimens_all_2025!G:G, [1]Raphanus_specimens_all_2025!A:A, "")</f>
        <v>236311</v>
      </c>
      <c r="B840">
        <v>236311</v>
      </c>
      <c r="C840" t="s">
        <v>175</v>
      </c>
      <c r="D840" t="s">
        <v>167</v>
      </c>
      <c r="E840">
        <v>2013</v>
      </c>
      <c r="F840" t="s">
        <v>180</v>
      </c>
      <c r="G840" t="s">
        <v>11</v>
      </c>
      <c r="H840" t="s">
        <v>173</v>
      </c>
      <c r="I840" t="s">
        <v>218</v>
      </c>
      <c r="J840" t="s">
        <v>169</v>
      </c>
    </row>
    <row r="841" spans="1:10" x14ac:dyDescent="0.2">
      <c r="A841">
        <f>_xlfn.XLOOKUP(D841, [1]Raphanus_specimens_all_2025!G:G, [1]Raphanus_specimens_all_2025!A:A, "")</f>
        <v>238791</v>
      </c>
      <c r="B841">
        <v>238791</v>
      </c>
      <c r="C841" t="s">
        <v>175</v>
      </c>
      <c r="D841" t="s">
        <v>195</v>
      </c>
      <c r="E841">
        <v>2015</v>
      </c>
      <c r="F841" t="s">
        <v>196</v>
      </c>
      <c r="G841" t="s">
        <v>11</v>
      </c>
      <c r="H841" t="s">
        <v>197</v>
      </c>
      <c r="I841" t="s">
        <v>218</v>
      </c>
      <c r="J841" t="s">
        <v>177</v>
      </c>
    </row>
    <row r="842" spans="1:10" x14ac:dyDescent="0.2">
      <c r="A842">
        <f>_xlfn.XLOOKUP(D842, [1]Raphanus_specimens_all_2025!G:G, [1]Raphanus_specimens_all_2025!A:A, "")</f>
        <v>236700</v>
      </c>
      <c r="B842">
        <v>236700</v>
      </c>
      <c r="C842" t="s">
        <v>175</v>
      </c>
      <c r="D842" s="6" t="s">
        <v>166</v>
      </c>
      <c r="E842">
        <v>2012</v>
      </c>
      <c r="F842" t="s">
        <v>171</v>
      </c>
      <c r="G842" t="s">
        <v>172</v>
      </c>
      <c r="H842" t="s">
        <v>170</v>
      </c>
      <c r="I842" t="s">
        <v>218</v>
      </c>
      <c r="J842" t="s">
        <v>174</v>
      </c>
    </row>
    <row r="843" spans="1:10" x14ac:dyDescent="0.2">
      <c r="A843">
        <f>_xlfn.XLOOKUP(D843, [1]Raphanus_specimens_all_2025!G:G, [1]Raphanus_specimens_all_2025!A:A, "")</f>
        <v>4064454</v>
      </c>
      <c r="B843">
        <v>4064454</v>
      </c>
      <c r="C843" t="s">
        <v>175</v>
      </c>
      <c r="D843" t="s">
        <v>198</v>
      </c>
      <c r="E843">
        <v>1983</v>
      </c>
      <c r="F843" t="s">
        <v>199</v>
      </c>
      <c r="G843" t="s">
        <v>18</v>
      </c>
      <c r="H843" t="s">
        <v>193</v>
      </c>
      <c r="J843" t="s">
        <v>194</v>
      </c>
    </row>
    <row r="844" spans="1:10" x14ac:dyDescent="0.2">
      <c r="A844">
        <f>_xlfn.XLOOKUP(D844, [1]Raphanus_specimens_all_2025!G:G, [1]Raphanus_specimens_all_2025!A:A, "")</f>
        <v>231693</v>
      </c>
      <c r="B844">
        <v>231693</v>
      </c>
      <c r="C844" t="s">
        <v>175</v>
      </c>
      <c r="D844" t="s">
        <v>208</v>
      </c>
      <c r="E844">
        <v>1994</v>
      </c>
      <c r="F844" t="s">
        <v>196</v>
      </c>
      <c r="G844" t="s">
        <v>18</v>
      </c>
      <c r="H844" t="s">
        <v>209</v>
      </c>
      <c r="J844" t="s">
        <v>177</v>
      </c>
    </row>
    <row r="845" spans="1:10" x14ac:dyDescent="0.2">
      <c r="A845">
        <f>_xlfn.XLOOKUP(D845, [1]Raphanus_specimens_all_2025!G:G, [1]Raphanus_specimens_all_2025!A:A, "")</f>
        <v>231367</v>
      </c>
      <c r="B845">
        <v>231367</v>
      </c>
      <c r="C845" t="s">
        <v>175</v>
      </c>
      <c r="D845" t="s">
        <v>191</v>
      </c>
      <c r="E845">
        <v>2007</v>
      </c>
      <c r="F845" t="s">
        <v>199</v>
      </c>
      <c r="G845" t="s">
        <v>18</v>
      </c>
      <c r="H845" t="s">
        <v>192</v>
      </c>
      <c r="I845" t="s">
        <v>218</v>
      </c>
      <c r="J845" t="s">
        <v>177</v>
      </c>
    </row>
    <row r="846" spans="1:10" x14ac:dyDescent="0.2">
      <c r="A846">
        <f>_xlfn.XLOOKUP(D846, [1]Raphanus_specimens_all_2025!G:G, [1]Raphanus_specimens_all_2025!A:A, "")</f>
        <v>3590276</v>
      </c>
      <c r="B846">
        <v>3590276</v>
      </c>
      <c r="C846" t="s">
        <v>175</v>
      </c>
      <c r="D846" t="s">
        <v>176</v>
      </c>
      <c r="E846">
        <v>2019</v>
      </c>
      <c r="F846" t="s">
        <v>180</v>
      </c>
      <c r="G846" t="s">
        <v>18</v>
      </c>
      <c r="H846" t="s">
        <v>181</v>
      </c>
      <c r="I846" t="s">
        <v>218</v>
      </c>
      <c r="J846" t="s">
        <v>177</v>
      </c>
    </row>
    <row r="847" spans="1:10" x14ac:dyDescent="0.2">
      <c r="A847">
        <f>_xlfn.XLOOKUP(D847, [1]Raphanus_specimens_all_2025!G:G, [1]Raphanus_specimens_all_2025!A:A, "")</f>
        <v>3590166</v>
      </c>
      <c r="B847">
        <v>3590166</v>
      </c>
      <c r="C847" t="s">
        <v>175</v>
      </c>
      <c r="D847" t="s">
        <v>183</v>
      </c>
      <c r="E847">
        <v>2019</v>
      </c>
      <c r="F847" t="s">
        <v>184</v>
      </c>
      <c r="G847" t="s">
        <v>18</v>
      </c>
      <c r="H847" t="s">
        <v>185</v>
      </c>
      <c r="I847" t="s">
        <v>218</v>
      </c>
      <c r="J847" t="s">
        <v>177</v>
      </c>
    </row>
    <row r="848" spans="1:10" x14ac:dyDescent="0.2">
      <c r="A848" t="s">
        <v>845</v>
      </c>
      <c r="B848" t="s">
        <v>845</v>
      </c>
      <c r="C848" t="s">
        <v>175</v>
      </c>
      <c r="D848" t="s">
        <v>178</v>
      </c>
      <c r="E848">
        <v>2020</v>
      </c>
      <c r="F848" t="s">
        <v>179</v>
      </c>
      <c r="G848" t="s">
        <v>18</v>
      </c>
      <c r="H848" t="s">
        <v>182</v>
      </c>
      <c r="J848" t="s">
        <v>177</v>
      </c>
    </row>
    <row r="849" spans="1:10" x14ac:dyDescent="0.2">
      <c r="A849" t="s">
        <v>845</v>
      </c>
      <c r="B849" t="s">
        <v>845</v>
      </c>
      <c r="C849" t="s">
        <v>175</v>
      </c>
      <c r="D849" t="s">
        <v>186</v>
      </c>
      <c r="E849">
        <v>2020</v>
      </c>
      <c r="F849" t="s">
        <v>187</v>
      </c>
      <c r="G849" t="s">
        <v>18</v>
      </c>
      <c r="H849" t="s">
        <v>182</v>
      </c>
      <c r="J849" t="s">
        <v>177</v>
      </c>
    </row>
    <row r="850" spans="1:10" x14ac:dyDescent="0.2">
      <c r="A850" t="s">
        <v>845</v>
      </c>
      <c r="B850" t="s">
        <v>845</v>
      </c>
      <c r="C850" t="s">
        <v>175</v>
      </c>
      <c r="D850" t="s">
        <v>189</v>
      </c>
      <c r="E850">
        <v>2020</v>
      </c>
      <c r="F850" t="s">
        <v>190</v>
      </c>
      <c r="G850" t="s">
        <v>18</v>
      </c>
      <c r="H850" t="s">
        <v>188</v>
      </c>
      <c r="J850" t="s">
        <v>177</v>
      </c>
    </row>
    <row r="851" spans="1:10" x14ac:dyDescent="0.2">
      <c r="A851" t="s">
        <v>845</v>
      </c>
      <c r="B851" t="s">
        <v>845</v>
      </c>
      <c r="C851" t="s">
        <v>175</v>
      </c>
      <c r="D851" t="s">
        <v>214</v>
      </c>
      <c r="E851">
        <v>2020</v>
      </c>
      <c r="F851" t="s">
        <v>216</v>
      </c>
      <c r="G851" t="s">
        <v>18</v>
      </c>
      <c r="H851" t="s">
        <v>213</v>
      </c>
      <c r="J851" t="s">
        <v>215</v>
      </c>
    </row>
    <row r="852" spans="1:10" x14ac:dyDescent="0.2">
      <c r="A852">
        <f>_xlfn.XLOOKUP(D852, [1]Raphanus_specimens_all_2025!G:G, [1]Raphanus_specimens_all_2025!A:A, "")</f>
        <v>229779</v>
      </c>
      <c r="B852">
        <v>229779</v>
      </c>
      <c r="C852" t="s">
        <v>175</v>
      </c>
      <c r="D852" t="s">
        <v>203</v>
      </c>
      <c r="E852">
        <v>1901</v>
      </c>
      <c r="F852" t="s">
        <v>184</v>
      </c>
      <c r="G852" t="s">
        <v>34</v>
      </c>
      <c r="H852" t="s">
        <v>204</v>
      </c>
      <c r="J852" t="s">
        <v>205</v>
      </c>
    </row>
    <row r="853" spans="1:10" x14ac:dyDescent="0.2">
      <c r="A853">
        <f>_xlfn.XLOOKUP(D853, [1]Raphanus_specimens_all_2025!G:G, [1]Raphanus_specimens_all_2025!A:A, "")</f>
        <v>232773</v>
      </c>
      <c r="B853">
        <v>232773</v>
      </c>
      <c r="C853" t="s">
        <v>175</v>
      </c>
      <c r="D853" t="s">
        <v>200</v>
      </c>
      <c r="E853">
        <v>1993</v>
      </c>
      <c r="F853" t="s">
        <v>196</v>
      </c>
      <c r="G853" t="s">
        <v>34</v>
      </c>
      <c r="H853" t="s">
        <v>202</v>
      </c>
      <c r="J853" t="s">
        <v>201</v>
      </c>
    </row>
    <row r="854" spans="1:10" x14ac:dyDescent="0.2">
      <c r="A854">
        <f>_xlfn.XLOOKUP(D854, [1]Raphanus_specimens_all_2025!G:G, [1]Raphanus_specimens_all_2025!A:A, "")</f>
        <v>4929046</v>
      </c>
      <c r="B854">
        <v>4929046</v>
      </c>
      <c r="C854" t="s">
        <v>1178</v>
      </c>
      <c r="D854" t="s">
        <v>1167</v>
      </c>
      <c r="E854">
        <v>1864</v>
      </c>
    </row>
    <row r="855" spans="1:10" x14ac:dyDescent="0.2">
      <c r="A855">
        <f>_xlfn.XLOOKUP(D855, [1]Raphanus_specimens_all_2025!G:G, [1]Raphanus_specimens_all_2025!A:A, "")</f>
        <v>5009796</v>
      </c>
      <c r="B855">
        <v>5009796</v>
      </c>
      <c r="C855" t="s">
        <v>1178</v>
      </c>
      <c r="D855" t="s">
        <v>1170</v>
      </c>
      <c r="E855">
        <v>1893</v>
      </c>
    </row>
    <row r="856" spans="1:10" x14ac:dyDescent="0.2">
      <c r="A856">
        <f>_xlfn.XLOOKUP(D856, [1]Raphanus_specimens_all_2025!G:G, [1]Raphanus_specimens_all_2025!A:A, "")</f>
        <v>4981056</v>
      </c>
      <c r="B856">
        <v>4981056</v>
      </c>
      <c r="C856" t="s">
        <v>1178</v>
      </c>
      <c r="D856" t="s">
        <v>1169</v>
      </c>
      <c r="E856">
        <v>1897</v>
      </c>
    </row>
    <row r="857" spans="1:10" x14ac:dyDescent="0.2">
      <c r="A857">
        <f>_xlfn.XLOOKUP(D857, [1]Raphanus_specimens_all_2025!G:G, [1]Raphanus_specimens_all_2025!A:A, "")</f>
        <v>4892598</v>
      </c>
      <c r="B857">
        <v>4892598</v>
      </c>
      <c r="C857" t="s">
        <v>1178</v>
      </c>
      <c r="D857" t="s">
        <v>1176</v>
      </c>
      <c r="E857">
        <v>1903</v>
      </c>
    </row>
    <row r="858" spans="1:10" x14ac:dyDescent="0.2">
      <c r="A858">
        <f>_xlfn.XLOOKUP(D858, [1]Raphanus_specimens_all_2025!G:G, [1]Raphanus_specimens_all_2025!A:A, "")</f>
        <v>4830361</v>
      </c>
      <c r="B858">
        <v>4830361</v>
      </c>
      <c r="C858" t="s">
        <v>1178</v>
      </c>
      <c r="D858" t="s">
        <v>1177</v>
      </c>
      <c r="E858">
        <v>1906</v>
      </c>
    </row>
    <row r="859" spans="1:10" x14ac:dyDescent="0.2">
      <c r="A859">
        <f>_xlfn.XLOOKUP(D859, [1]Raphanus_specimens_all_2025!G:G, [1]Raphanus_specimens_all_2025!A:A, "")</f>
        <v>4892287</v>
      </c>
      <c r="B859">
        <v>4892287</v>
      </c>
      <c r="C859" t="s">
        <v>1178</v>
      </c>
      <c r="D859" t="s">
        <v>1171</v>
      </c>
      <c r="E859">
        <v>1913</v>
      </c>
    </row>
    <row r="860" spans="1:10" x14ac:dyDescent="0.2">
      <c r="A860">
        <f>_xlfn.XLOOKUP(D860, [1]Raphanus_specimens_all_2025!G:G, [1]Raphanus_specimens_all_2025!A:A, "")</f>
        <v>5001849</v>
      </c>
      <c r="B860">
        <v>5001849</v>
      </c>
      <c r="C860" t="s">
        <v>1178</v>
      </c>
      <c r="D860" t="s">
        <v>1172</v>
      </c>
      <c r="E860">
        <v>1913</v>
      </c>
    </row>
    <row r="861" spans="1:10" x14ac:dyDescent="0.2">
      <c r="A861">
        <f>_xlfn.XLOOKUP(D861, [1]Raphanus_specimens_all_2025!G:G, [1]Raphanus_specimens_all_2025!A:A, "")</f>
        <v>4971847</v>
      </c>
      <c r="B861">
        <v>4971847</v>
      </c>
      <c r="C861" t="s">
        <v>1178</v>
      </c>
      <c r="D861" t="s">
        <v>1174</v>
      </c>
      <c r="E861">
        <v>1919</v>
      </c>
    </row>
    <row r="862" spans="1:10" x14ac:dyDescent="0.2">
      <c r="A862">
        <f>_xlfn.XLOOKUP(D862, [1]Raphanus_specimens_all_2025!G:G, [1]Raphanus_specimens_all_2025!A:A, "")</f>
        <v>4940224</v>
      </c>
      <c r="B862">
        <v>4940224</v>
      </c>
      <c r="C862" t="s">
        <v>1178</v>
      </c>
      <c r="D862" t="s">
        <v>1173</v>
      </c>
      <c r="E862">
        <v>1935</v>
      </c>
    </row>
    <row r="863" spans="1:10" x14ac:dyDescent="0.2">
      <c r="A863">
        <v>2866761</v>
      </c>
      <c r="B863">
        <v>2866761</v>
      </c>
      <c r="C863" t="s">
        <v>1178</v>
      </c>
      <c r="D863" t="s">
        <v>1175</v>
      </c>
      <c r="E863">
        <v>1966</v>
      </c>
      <c r="I863" t="s">
        <v>1188</v>
      </c>
    </row>
    <row r="864" spans="1:10" x14ac:dyDescent="0.2">
      <c r="A864">
        <f>_xlfn.XLOOKUP(D864, [1]Raphanus_specimens_all_2025!G:G, [1]Raphanus_specimens_all_2025!A:A, "")</f>
        <v>4947933</v>
      </c>
      <c r="B864">
        <v>4947933</v>
      </c>
      <c r="C864" t="s">
        <v>1178</v>
      </c>
      <c r="D864" t="s">
        <v>1168</v>
      </c>
      <c r="E864">
        <v>1989</v>
      </c>
    </row>
    <row r="865" spans="1:12" x14ac:dyDescent="0.2">
      <c r="A865">
        <f>_xlfn.XLOOKUP(D865, [1]Raphanus_specimens_all_2025!G:G, [1]Raphanus_specimens_all_2025!A:A, "")</f>
        <v>2970754</v>
      </c>
      <c r="B865">
        <v>2970754</v>
      </c>
      <c r="C865" t="s">
        <v>1367</v>
      </c>
      <c r="D865" t="s">
        <v>1368</v>
      </c>
      <c r="E865">
        <v>1927</v>
      </c>
      <c r="F865" t="s">
        <v>818</v>
      </c>
      <c r="G865" t="s">
        <v>11</v>
      </c>
      <c r="H865" t="s">
        <v>725</v>
      </c>
      <c r="K865" t="s">
        <v>1282</v>
      </c>
      <c r="L865" s="11">
        <v>46091</v>
      </c>
    </row>
    <row r="866" spans="1:12" x14ac:dyDescent="0.2">
      <c r="A866">
        <f>_xlfn.XLOOKUP(D866, [1]Raphanus_specimens_all_2025!G:G, [1]Raphanus_specimens_all_2025!A:A, "")</f>
        <v>2963409</v>
      </c>
      <c r="B866">
        <v>2963409</v>
      </c>
      <c r="C866" t="s">
        <v>1367</v>
      </c>
      <c r="D866" t="s">
        <v>1369</v>
      </c>
      <c r="E866">
        <v>1999</v>
      </c>
      <c r="F866" t="s">
        <v>491</v>
      </c>
      <c r="G866" t="s">
        <v>437</v>
      </c>
      <c r="H866" t="s">
        <v>78</v>
      </c>
      <c r="K866" t="s">
        <v>1282</v>
      </c>
      <c r="L866" s="11">
        <v>46091</v>
      </c>
    </row>
    <row r="867" spans="1:12" x14ac:dyDescent="0.2">
      <c r="A867">
        <f>_xlfn.XLOOKUP(D867, [1]Raphanus_specimens_all_2025!G:G, [1]Raphanus_specimens_all_2025!A:A, "")</f>
        <v>2966793</v>
      </c>
      <c r="B867">
        <v>2966793</v>
      </c>
      <c r="C867" t="s">
        <v>1367</v>
      </c>
      <c r="D867" t="s">
        <v>1370</v>
      </c>
      <c r="E867">
        <v>2007</v>
      </c>
      <c r="F867" t="s">
        <v>455</v>
      </c>
      <c r="G867" t="s">
        <v>611</v>
      </c>
      <c r="H867" t="s">
        <v>1373</v>
      </c>
      <c r="K867" t="s">
        <v>1372</v>
      </c>
      <c r="L867" s="11">
        <v>46091</v>
      </c>
    </row>
    <row r="868" spans="1:12" x14ac:dyDescent="0.2">
      <c r="A868">
        <f>_xlfn.XLOOKUP(D868, [1]Raphanus_specimens_all_2025!G:G, [1]Raphanus_specimens_all_2025!A:A, "")</f>
        <v>2963408</v>
      </c>
      <c r="B868">
        <v>2963408</v>
      </c>
      <c r="C868" t="s">
        <v>1367</v>
      </c>
      <c r="D868" t="s">
        <v>1371</v>
      </c>
      <c r="E868">
        <v>1999</v>
      </c>
      <c r="F868" t="s">
        <v>491</v>
      </c>
      <c r="G868" t="s">
        <v>18</v>
      </c>
      <c r="H868" t="s">
        <v>725</v>
      </c>
      <c r="K868" t="s">
        <v>1282</v>
      </c>
      <c r="L868" s="11">
        <v>46091</v>
      </c>
    </row>
    <row r="869" spans="1:12" x14ac:dyDescent="0.2">
      <c r="C869" t="s">
        <v>1382</v>
      </c>
      <c r="D869" t="s">
        <v>1376</v>
      </c>
      <c r="E869">
        <v>1890</v>
      </c>
      <c r="F869" t="s">
        <v>1384</v>
      </c>
      <c r="G869" t="s">
        <v>11</v>
      </c>
      <c r="H869" t="s">
        <v>25</v>
      </c>
      <c r="K869" t="s">
        <v>1084</v>
      </c>
      <c r="L869" s="11">
        <v>46094</v>
      </c>
    </row>
    <row r="870" spans="1:12" x14ac:dyDescent="0.2">
      <c r="C870" t="s">
        <v>1382</v>
      </c>
      <c r="D870" t="s">
        <v>1377</v>
      </c>
      <c r="E870">
        <v>1954</v>
      </c>
      <c r="F870" t="s">
        <v>1381</v>
      </c>
      <c r="G870" t="s">
        <v>110</v>
      </c>
      <c r="H870" t="s">
        <v>725</v>
      </c>
      <c r="K870" t="s">
        <v>1084</v>
      </c>
      <c r="L870" s="11">
        <v>46094</v>
      </c>
    </row>
    <row r="871" spans="1:12" x14ac:dyDescent="0.2">
      <c r="C871" t="s">
        <v>1382</v>
      </c>
      <c r="D871" t="s">
        <v>1378</v>
      </c>
      <c r="E871">
        <v>1953</v>
      </c>
      <c r="F871" t="s">
        <v>491</v>
      </c>
      <c r="G871" t="s">
        <v>110</v>
      </c>
      <c r="H871" t="s">
        <v>25</v>
      </c>
      <c r="K871" t="s">
        <v>1282</v>
      </c>
      <c r="L871" s="11">
        <v>46094</v>
      </c>
    </row>
    <row r="872" spans="1:12" x14ac:dyDescent="0.2">
      <c r="C872" t="s">
        <v>1382</v>
      </c>
      <c r="D872" t="s">
        <v>1379</v>
      </c>
      <c r="E872">
        <v>1933</v>
      </c>
      <c r="F872" t="s">
        <v>1383</v>
      </c>
      <c r="G872" t="s">
        <v>11</v>
      </c>
      <c r="H872" t="s">
        <v>725</v>
      </c>
      <c r="K872" t="s">
        <v>1282</v>
      </c>
      <c r="L872" s="11">
        <v>46094</v>
      </c>
    </row>
    <row r="873" spans="1:12" x14ac:dyDescent="0.2">
      <c r="C873" t="s">
        <v>1382</v>
      </c>
      <c r="D873" t="s">
        <v>1380</v>
      </c>
      <c r="E873">
        <v>1953</v>
      </c>
      <c r="F873" t="s">
        <v>491</v>
      </c>
      <c r="G873" t="s">
        <v>11</v>
      </c>
      <c r="H873" t="s">
        <v>25</v>
      </c>
      <c r="K873" t="s">
        <v>1282</v>
      </c>
      <c r="L873" s="11">
        <v>46094</v>
      </c>
    </row>
  </sheetData>
  <sortState xmlns:xlrd2="http://schemas.microsoft.com/office/spreadsheetml/2017/richdata2" ref="A2:M870">
    <sortCondition ref="C2:C870"/>
  </sortState>
  <phoneticPr fontId="8" type="noConversion"/>
  <conditionalFormatting sqref="A807 D823:D1048576 D810:D817 D1:D380 D766:D769 D774:D806 D382:D763">
    <cfRule type="duplicateValues" dxfId="5" priority="4"/>
  </conditionalFormatting>
  <conditionalFormatting sqref="A808 A810:A817 A1:A804 A823:A1048576">
    <cfRule type="duplicateValues" dxfId="4" priority="13"/>
  </conditionalFormatting>
  <conditionalFormatting sqref="A807:A817 A1:A804 A823:A1048576">
    <cfRule type="duplicateValues" dxfId="3" priority="19"/>
  </conditionalFormatting>
  <conditionalFormatting sqref="D1:D380 D382:D1048576">
    <cfRule type="duplicateValues" dxfId="2" priority="1"/>
  </conditionalFormatting>
  <hyperlinks>
    <hyperlink ref="A122" r:id="rId1" xr:uid="{617785D6-231B-1F42-BCDB-ECEDFFF47DED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98FF-8BEB-CF4D-91E4-2A7B1D24A348}">
  <dimension ref="A1:B6"/>
  <sheetViews>
    <sheetView zoomScale="95" workbookViewId="0">
      <selection activeCell="D21" sqref="D21"/>
    </sheetView>
  </sheetViews>
  <sheetFormatPr baseColWidth="10" defaultRowHeight="16" x14ac:dyDescent="0.2"/>
  <sheetData>
    <row r="1" spans="1:2" x14ac:dyDescent="0.2">
      <c r="A1" t="s">
        <v>830</v>
      </c>
      <c r="B1" t="s">
        <v>831</v>
      </c>
    </row>
    <row r="2" spans="1:2" x14ac:dyDescent="0.2">
      <c r="A2">
        <v>685178</v>
      </c>
      <c r="B2" t="s">
        <v>849</v>
      </c>
    </row>
    <row r="3" spans="1:2" x14ac:dyDescent="0.2">
      <c r="A3">
        <v>74361</v>
      </c>
      <c r="B3">
        <v>1954</v>
      </c>
    </row>
    <row r="4" spans="1:2" x14ac:dyDescent="0.2">
      <c r="A4">
        <v>74355</v>
      </c>
      <c r="B4">
        <v>1950</v>
      </c>
    </row>
    <row r="5" spans="1:2" x14ac:dyDescent="0.2">
      <c r="A5">
        <v>74354</v>
      </c>
      <c r="B5">
        <v>1950</v>
      </c>
    </row>
    <row r="6" spans="1:2" x14ac:dyDescent="0.2">
      <c r="A6">
        <v>74347</v>
      </c>
      <c r="B6">
        <v>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6E47-748A-1748-A86C-8221E39D4ED5}">
  <dimension ref="A1:F9"/>
  <sheetViews>
    <sheetView workbookViewId="0">
      <selection activeCell="A10" sqref="A10:C11"/>
    </sheetView>
  </sheetViews>
  <sheetFormatPr baseColWidth="10" defaultRowHeight="16" x14ac:dyDescent="0.2"/>
  <sheetData>
    <row r="1" spans="1:6" x14ac:dyDescent="0.2">
      <c r="A1" t="s">
        <v>0</v>
      </c>
      <c r="B1" t="s">
        <v>154</v>
      </c>
      <c r="C1" t="s">
        <v>3</v>
      </c>
      <c r="D1" t="s">
        <v>146</v>
      </c>
      <c r="F1" t="s">
        <v>149</v>
      </c>
    </row>
    <row r="2" spans="1:6" x14ac:dyDescent="0.2">
      <c r="A2" s="3">
        <v>304588</v>
      </c>
      <c r="B2" t="s">
        <v>155</v>
      </c>
      <c r="C2">
        <v>1960</v>
      </c>
      <c r="D2" t="s">
        <v>147</v>
      </c>
      <c r="F2" t="s">
        <v>150</v>
      </c>
    </row>
    <row r="3" spans="1:6" x14ac:dyDescent="0.2">
      <c r="A3" s="3">
        <v>3630484</v>
      </c>
      <c r="B3" t="s">
        <v>43</v>
      </c>
      <c r="C3">
        <v>2019</v>
      </c>
      <c r="D3" t="s">
        <v>148</v>
      </c>
      <c r="F3" t="s">
        <v>153</v>
      </c>
    </row>
    <row r="4" spans="1:6" x14ac:dyDescent="0.2">
      <c r="A4" s="3">
        <v>3641757</v>
      </c>
      <c r="B4" t="s">
        <v>156</v>
      </c>
      <c r="C4">
        <v>2019</v>
      </c>
      <c r="D4" t="s">
        <v>152</v>
      </c>
      <c r="F4" t="s">
        <v>150</v>
      </c>
    </row>
    <row r="5" spans="1:6" x14ac:dyDescent="0.2">
      <c r="A5" s="3">
        <v>3641756</v>
      </c>
      <c r="B5" t="s">
        <v>157</v>
      </c>
      <c r="C5">
        <v>2019</v>
      </c>
      <c r="D5" t="s">
        <v>152</v>
      </c>
      <c r="F5" t="s">
        <v>150</v>
      </c>
    </row>
    <row r="6" spans="1:6" x14ac:dyDescent="0.2">
      <c r="A6" s="3">
        <v>304595</v>
      </c>
      <c r="B6" t="s">
        <v>158</v>
      </c>
      <c r="C6">
        <v>1958</v>
      </c>
      <c r="D6" t="s">
        <v>159</v>
      </c>
    </row>
    <row r="7" spans="1:6" x14ac:dyDescent="0.2">
      <c r="A7" s="3">
        <v>304579</v>
      </c>
      <c r="B7" t="s">
        <v>160</v>
      </c>
      <c r="C7">
        <v>1971</v>
      </c>
      <c r="D7" t="s">
        <v>161</v>
      </c>
      <c r="F7" t="s">
        <v>162</v>
      </c>
    </row>
    <row r="8" spans="1:6" x14ac:dyDescent="0.2">
      <c r="A8" s="3">
        <v>304563</v>
      </c>
      <c r="B8" t="s">
        <v>165</v>
      </c>
      <c r="C8">
        <v>1982</v>
      </c>
      <c r="D8" t="s">
        <v>163</v>
      </c>
    </row>
    <row r="9" spans="1:6" x14ac:dyDescent="0.2">
      <c r="A9" s="3">
        <v>304553</v>
      </c>
      <c r="B9" t="s">
        <v>164</v>
      </c>
      <c r="C9">
        <v>1980</v>
      </c>
      <c r="D9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64C4-6DE6-EB4C-B84F-6A6474732080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Herbarium_tissue_collected</vt:lpstr>
      <vt:lpstr>CAS unsampled</vt:lpstr>
      <vt:lpstr>Recollection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Harencar</dc:creator>
  <cp:lastModifiedBy>Julia Harencar</cp:lastModifiedBy>
  <dcterms:created xsi:type="dcterms:W3CDTF">2025-04-06T20:45:58Z</dcterms:created>
  <dcterms:modified xsi:type="dcterms:W3CDTF">2026-04-09T16:17:17Z</dcterms:modified>
</cp:coreProperties>
</file>