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harencar/Documents/Github/Raphanus_specimen_map/"/>
    </mc:Choice>
  </mc:AlternateContent>
  <xr:revisionPtr revIDLastSave="0" documentId="13_ncr:1_{85C05AB8-F172-7547-A571-0B32A52A6622}" xr6:coauthVersionLast="47" xr6:coauthVersionMax="47" xr10:uidLastSave="{00000000-0000-0000-0000-000000000000}"/>
  <bookViews>
    <workbookView xWindow="7860" yWindow="780" windowWidth="23340" windowHeight="21060" xr2:uid="{5EA8A1EC-9333-B941-B952-47DD6A67276B}"/>
  </bookViews>
  <sheets>
    <sheet name="databse" sheetId="1" r:id="rId1"/>
    <sheet name="Redundncy_tracker" sheetId="4" r:id="rId2"/>
    <sheet name="Sheet2" sheetId="2" r:id="rId3"/>
    <sheet name="Specimen sheet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30" i="1"/>
  <c r="B31" i="1"/>
  <c r="B28" i="1"/>
  <c r="O49" i="2"/>
  <c r="O46" i="2"/>
  <c r="O43" i="2"/>
  <c r="O40" i="2"/>
  <c r="O37" i="2"/>
  <c r="O34" i="2"/>
  <c r="O31" i="2"/>
  <c r="O28" i="2"/>
  <c r="O25" i="2"/>
  <c r="O21" i="2"/>
  <c r="O18" i="2"/>
  <c r="O15" i="2"/>
  <c r="O12" i="2"/>
</calcChain>
</file>

<file path=xl/sharedStrings.xml><?xml version="1.0" encoding="utf-8"?>
<sst xmlns="http://schemas.openxmlformats.org/spreadsheetml/2006/main" count="836" uniqueCount="368">
  <si>
    <t>Lab_ID</t>
  </si>
  <si>
    <t>Herbarium_ID</t>
  </si>
  <si>
    <t>260/280</t>
  </si>
  <si>
    <t>260/230</t>
  </si>
  <si>
    <t>25_011</t>
  </si>
  <si>
    <t>25_012</t>
  </si>
  <si>
    <t>25_013</t>
  </si>
  <si>
    <t>25_014</t>
  </si>
  <si>
    <t>NA</t>
  </si>
  <si>
    <t>CCH2_ID</t>
  </si>
  <si>
    <t>DAV315352</t>
  </si>
  <si>
    <t>DAV310425</t>
  </si>
  <si>
    <t>DAV310393</t>
  </si>
  <si>
    <t>DAV325632</t>
  </si>
  <si>
    <t>year</t>
  </si>
  <si>
    <t>tiss_type</t>
  </si>
  <si>
    <t>bud</t>
  </si>
  <si>
    <t>leaf + bud</t>
  </si>
  <si>
    <t>used only a few buds with young leaf; saved some bud tissue - not critical sample and wanted to try and see how well mixed leaf and bud will work</t>
  </si>
  <si>
    <t>used 8 buds, saved 4 older buds</t>
  </si>
  <si>
    <t>used all tissue</t>
  </si>
  <si>
    <t>used all tissue - ~12 buds various sizes, tiny leaf bit</t>
  </si>
  <si>
    <t>gel_notes</t>
  </si>
  <si>
    <t>tissue_notes</t>
  </si>
  <si>
    <t>OBI101734</t>
  </si>
  <si>
    <t>UCSB032040</t>
  </si>
  <si>
    <t>UCSB040101</t>
  </si>
  <si>
    <t>OBI101761</t>
  </si>
  <si>
    <t>UCSB041759</t>
  </si>
  <si>
    <t>UCSB038863</t>
  </si>
  <si>
    <t>UCSB041178</t>
  </si>
  <si>
    <t>OBI101740</t>
  </si>
  <si>
    <t>OBI101741</t>
  </si>
  <si>
    <t>UCSB044460</t>
  </si>
  <si>
    <t>UCSB050386</t>
  </si>
  <si>
    <t>OBI161552</t>
  </si>
  <si>
    <t>OBI183593</t>
  </si>
  <si>
    <t>25_016</t>
  </si>
  <si>
    <t>25_017</t>
  </si>
  <si>
    <t>25_018</t>
  </si>
  <si>
    <t>25_019</t>
  </si>
  <si>
    <t>25_020</t>
  </si>
  <si>
    <t>25_021</t>
  </si>
  <si>
    <t>25_022</t>
  </si>
  <si>
    <t>25_023</t>
  </si>
  <si>
    <t>25_024</t>
  </si>
  <si>
    <t>25_025</t>
  </si>
  <si>
    <t>25_026</t>
  </si>
  <si>
    <t>25_027</t>
  </si>
  <si>
    <t>25_028</t>
  </si>
  <si>
    <t>~16 of smallest buds</t>
  </si>
  <si>
    <t>NOTES</t>
  </si>
  <si>
    <t>weights so small and weighed in tups that probs not very accurate</t>
  </si>
  <si>
    <t>~6 buds, saved 2 largest; wt likely not accurate (tare with one beater tube, not the specific tube with tissue bc didn't want to loose tissue)</t>
  </si>
  <si>
    <t>~14 med/sml buds, saved 5 med (looks like most tissue maybe so far); wt likely not accurate (tare with one beater tube, not the specific tube with tissue bc didn't want to loose tissue)</t>
  </si>
  <si>
    <t>~6 buds, removed 2 big buds; wt likely not accurate (tare with one beater tube, not the specific tube with tissue bc didn't want to loose tissue)</t>
  </si>
  <si>
    <t>~10 med/sml buds, saved some larger and petiole; (looks like less tissue tha 25_018…) wt likely not accurate (tare with one beater tube, not the specific tube with tissue bc didn't want to loose tissue)</t>
  </si>
  <si>
    <t>saved 3 med/sml; wt likely not accurate (tare with one beater tube, not the specific tube with tissue bc didn't want to loose tissue)</t>
  </si>
  <si>
    <t>~6 tiny (maybe leaset tissue so far), saved 2 med buds; wt likely not accurate (tare with one beater tube, not the specific tube with tissue bc didn't want to loose tissue)</t>
  </si>
  <si>
    <t>~20 tiny, saved numerous small; wt likely not accurate (tare with one beater tube, not the specific tube with tissue bc didn't want to loose tissue)</t>
  </si>
  <si>
    <t>several small and a whole lil apical cluster of buds; wt likely not accurate (tare with one beater tube, not the specific tube with tissue bc didn't want to loose tissue)</t>
  </si>
  <si>
    <t>~6 small, saved 3 small; wt likely not accurate (tare with one beater tube, not the specific tube with tissue bc didn't want to loose tissue)</t>
  </si>
  <si>
    <t>2 terminal bud clusters and several lil buds, saved lots (most tissue included); wt likely not accurate (tare with one beater tube, not the specific tube with tissue bc didn't want to loose tissue)</t>
  </si>
  <si>
    <t>~9 tiny/sml 1 med, saved 3 med; wt likely not accurate (tare with one beater tube, not the specific tube with tissue bc didn't want to loose tissue)</t>
  </si>
  <si>
    <t>~7 sml (nice and green still) saved a lil lf flake; wt likely not accurate (tare with one beater tube, not the specific tube with tissue bc didn't want to loose tissue)</t>
  </si>
  <si>
    <t>25_029</t>
  </si>
  <si>
    <t>25_030</t>
  </si>
  <si>
    <t>other_notes</t>
  </si>
  <si>
    <t>redo of 29_28</t>
  </si>
  <si>
    <t>Nano_curve</t>
  </si>
  <si>
    <t>Nano_ng/ul</t>
  </si>
  <si>
    <t>Qbit_ng/ul</t>
  </si>
  <si>
    <t>tiss_wt.mg</t>
  </si>
  <si>
    <t>leaf</t>
  </si>
  <si>
    <t>great</t>
  </si>
  <si>
    <t>25_033</t>
  </si>
  <si>
    <t>25_034</t>
  </si>
  <si>
    <t>25_035</t>
  </si>
  <si>
    <t>25_036</t>
  </si>
  <si>
    <t>25_037</t>
  </si>
  <si>
    <t>25_038</t>
  </si>
  <si>
    <t>25_039</t>
  </si>
  <si>
    <t>25_040</t>
  </si>
  <si>
    <t>25_041</t>
  </si>
  <si>
    <t>25_042</t>
  </si>
  <si>
    <t>25_043</t>
  </si>
  <si>
    <t>25_044</t>
  </si>
  <si>
    <t>nomal</t>
  </si>
  <si>
    <t>huge tail (tall at beginning)</t>
  </si>
  <si>
    <t>ISSUES</t>
  </si>
  <si>
    <t>ugly and squigly</t>
  </si>
  <si>
    <t>okay</t>
  </si>
  <si>
    <t>bigger first lump</t>
  </si>
  <si>
    <t>okay, high first peak</t>
  </si>
  <si>
    <t>pretty good</t>
  </si>
  <si>
    <t>bad (below 0 line)</t>
  </si>
  <si>
    <t>bad (below 0 line, but okay shape)</t>
  </si>
  <si>
    <t>terrible - flat and drops below 0</t>
  </si>
  <si>
    <t>good</t>
  </si>
  <si>
    <t>weight off bc wet with EB buds</t>
  </si>
  <si>
    <t>ugly yellow leaf bit, last shot</t>
  </si>
  <si>
    <t>date_extracted</t>
  </si>
  <si>
    <t>~9 med/lrg, saved 1 lrg</t>
  </si>
  <si>
    <t>3 sml/med</t>
  </si>
  <si>
    <t>bud+leaf</t>
  </si>
  <si>
    <t>1 bud, one sml leaf</t>
  </si>
  <si>
    <t>axillary bud cluster/some lil buds</t>
  </si>
  <si>
    <t>2 lrg, 2.6 mg  lf tissue</t>
  </si>
  <si>
    <t>2 lrg + 1.1 mg lf tissue</t>
  </si>
  <si>
    <t>5 med/lrg + 3.4 mg lf tissue</t>
  </si>
  <si>
    <t>5 med + 4.5mg leaf</t>
  </si>
  <si>
    <t>5 med + 1.1mg leaf, maybe axillary bud but think I stole it already - some petiole tissue; saved 1 lrg</t>
  </si>
  <si>
    <t>2 med/lrg + some lf tissue</t>
  </si>
  <si>
    <t>3 med + 2.8 mg lf</t>
  </si>
  <si>
    <t>homogenization: 26 min with 3 2.45 mm beads</t>
  </si>
  <si>
    <t>homogenization: 16 min with 3 2.45 mm beads +20 min after adding 1 3.2 mm bead</t>
  </si>
  <si>
    <t>homogenization: 46 min with 3 2.45 mm beads</t>
  </si>
  <si>
    <t>homogenization: 32 min with 3 2.45 mm beads + 20 min after adding 1 3.2mm bead</t>
  </si>
  <si>
    <t>homogenization: 16 min with 3 2.45 mm beads + 20 min after adding 1 3.2 mm bead</t>
  </si>
  <si>
    <t xml:space="preserve">Nothing else nearby, right at tip of point conception… </t>
  </si>
  <si>
    <t>grp1 maybe redundant</t>
  </si>
  <si>
    <t>not redundant, would need to revisit OBI</t>
  </si>
  <si>
    <t>meh - not a big deal to lose</t>
  </si>
  <si>
    <t>close to oldest in campus area</t>
  </si>
  <si>
    <t>high priority</t>
  </si>
  <si>
    <t>would probs want to resample, closest post 200 to old specimen</t>
  </si>
  <si>
    <t>meh</t>
  </si>
  <si>
    <t>kinda fine</t>
  </si>
  <si>
    <t>neg start, big peak</t>
  </si>
  <si>
    <t>goood</t>
  </si>
  <si>
    <t>neg start</t>
  </si>
  <si>
    <t>neg start v little positive</t>
  </si>
  <si>
    <t xml:space="preserve">neg start </t>
  </si>
  <si>
    <t>neg start and never recovers…</t>
  </si>
  <si>
    <t>great!</t>
  </si>
  <si>
    <t>neg start small peak</t>
  </si>
  <si>
    <t>negative always</t>
  </si>
  <si>
    <t>right shape but dips below 0</t>
  </si>
  <si>
    <t>negative, barely above 0</t>
  </si>
  <si>
    <t>25_046</t>
  </si>
  <si>
    <t>25_048</t>
  </si>
  <si>
    <t>25_050</t>
  </si>
  <si>
    <t>25_051</t>
  </si>
  <si>
    <t>25_052</t>
  </si>
  <si>
    <t>UCSC100000693</t>
  </si>
  <si>
    <t>UCSC100000697</t>
  </si>
  <si>
    <t>UCSC100000698</t>
  </si>
  <si>
    <t>UCSC100000689</t>
  </si>
  <si>
    <t>UCSC100000688</t>
  </si>
  <si>
    <t>UCSC100000690</t>
  </si>
  <si>
    <t>UCSC100003126</t>
  </si>
  <si>
    <t>UCSC100003138</t>
  </si>
  <si>
    <t>UCSC100006703</t>
  </si>
  <si>
    <t>UCSC100006685</t>
  </si>
  <si>
    <t>UCSC100006704</t>
  </si>
  <si>
    <t>UCSC100006681</t>
  </si>
  <si>
    <t>gel?</t>
  </si>
  <si>
    <t>y</t>
  </si>
  <si>
    <t>1 bud cluster and some buds</t>
  </si>
  <si>
    <t>saved tissue, weight = bad estimate bc tare with diff tube</t>
  </si>
  <si>
    <t>1 axillary bud cluster, several sml buds, 1 lil leaf</t>
  </si>
  <si>
    <t>sand homogenized; saved tissue, weight = bad estimate bc tare with diff tube</t>
  </si>
  <si>
    <t>bead homogenized; saved tissue, weight = bad estimate bc tare with diff tube</t>
  </si>
  <si>
    <t>?</t>
  </si>
  <si>
    <t>1(+?) bud cluster and some buds</t>
  </si>
  <si>
    <t>1 axillary bud cluster, several sml buds, few lil leaves</t>
  </si>
  <si>
    <t>~.6</t>
  </si>
  <si>
    <t>~1</t>
  </si>
  <si>
    <t>issue with that lane, but more conc. Than with beads</t>
  </si>
  <si>
    <t>n</t>
  </si>
  <si>
    <t>maybe needs cleanup + dilution (maybe just way overloaded well bc really high concentration</t>
  </si>
  <si>
    <t>usable?</t>
  </si>
  <si>
    <t>importance</t>
  </si>
  <si>
    <t>priority</t>
  </si>
  <si>
    <t>m</t>
  </si>
  <si>
    <t>fragments too small</t>
  </si>
  <si>
    <t>unique_site.yr_ID</t>
  </si>
  <si>
    <t>FSC0010444</t>
  </si>
  <si>
    <t>FSC0010445</t>
  </si>
  <si>
    <t>FSC0010453</t>
  </si>
  <si>
    <t>FSC0010461</t>
  </si>
  <si>
    <t>FSC0010446</t>
  </si>
  <si>
    <t>FSC0010454</t>
  </si>
  <si>
    <t>FSC0010451</t>
  </si>
  <si>
    <t>FSC0010460</t>
  </si>
  <si>
    <t>FSC0010462</t>
  </si>
  <si>
    <t>FSC0010457</t>
  </si>
  <si>
    <t>FSC0010449</t>
  </si>
  <si>
    <t>FSC0010455</t>
  </si>
  <si>
    <t>FSC0010441</t>
  </si>
  <si>
    <t>FSC0010467</t>
  </si>
  <si>
    <t>FSC0010470</t>
  </si>
  <si>
    <t>FSC0010468</t>
  </si>
  <si>
    <t>FSC0010480</t>
  </si>
  <si>
    <t>FSC0010483</t>
  </si>
  <si>
    <t>FSC0010477</t>
  </si>
  <si>
    <t>FSC0010478</t>
  </si>
  <si>
    <t>SBBG213813</t>
  </si>
  <si>
    <t>SBBG213815</t>
  </si>
  <si>
    <t>SBBG213816</t>
  </si>
  <si>
    <t>SBBG213820</t>
  </si>
  <si>
    <t>SBBG213810</t>
  </si>
  <si>
    <t>SBBG213821</t>
  </si>
  <si>
    <t>SBBG213827</t>
  </si>
  <si>
    <t>SBBG213824</t>
  </si>
  <si>
    <t>SBBG213833</t>
  </si>
  <si>
    <t>UCSB032032</t>
  </si>
  <si>
    <t>SBBG213842</t>
  </si>
  <si>
    <t>SBBG213841</t>
  </si>
  <si>
    <t>SBBG213840</t>
  </si>
  <si>
    <t>UCR0083336</t>
  </si>
  <si>
    <t>SBBG213846</t>
  </si>
  <si>
    <t>SD00030202</t>
  </si>
  <si>
    <t>SBBG213845</t>
  </si>
  <si>
    <t>SBBG174263</t>
  </si>
  <si>
    <t>SD00021403</t>
  </si>
  <si>
    <t>UCR0083312</t>
  </si>
  <si>
    <t>UCR0083313</t>
  </si>
  <si>
    <t>IRVC101177</t>
  </si>
  <si>
    <t>UCR0083304</t>
  </si>
  <si>
    <t>RSA0196618</t>
  </si>
  <si>
    <t>UCR0083375</t>
  </si>
  <si>
    <t>OBI181423</t>
  </si>
  <si>
    <t>UCR0083329</t>
  </si>
  <si>
    <t>UCR0083326</t>
  </si>
  <si>
    <t>UCR0083327</t>
  </si>
  <si>
    <t>UCR0083328</t>
  </si>
  <si>
    <t>UCR0083406</t>
  </si>
  <si>
    <t>UCR0083405</t>
  </si>
  <si>
    <t>SD00062631</t>
  </si>
  <si>
    <t>SD00062556</t>
  </si>
  <si>
    <t>UCR0083354</t>
  </si>
  <si>
    <t>UCR0083356</t>
  </si>
  <si>
    <t>SD00062774</t>
  </si>
  <si>
    <t>JEPS100009</t>
  </si>
  <si>
    <t>JEPS111867</t>
  </si>
  <si>
    <t>JEPS127092</t>
  </si>
  <si>
    <t>UC2082406</t>
  </si>
  <si>
    <t>25_053</t>
  </si>
  <si>
    <t>25_054</t>
  </si>
  <si>
    <t>25_055</t>
  </si>
  <si>
    <t>25_056</t>
  </si>
  <si>
    <t>25_057</t>
  </si>
  <si>
    <t>25_058</t>
  </si>
  <si>
    <t>25_059</t>
  </si>
  <si>
    <t>25_060</t>
  </si>
  <si>
    <t>25_063</t>
  </si>
  <si>
    <t>25_064</t>
  </si>
  <si>
    <t>25_065</t>
  </si>
  <si>
    <t>25_066</t>
  </si>
  <si>
    <t>SDSU25094</t>
  </si>
  <si>
    <t>SDSU15560</t>
  </si>
  <si>
    <t>SDSU15680</t>
  </si>
  <si>
    <t>SDSU19512</t>
  </si>
  <si>
    <t>SDSU19952</t>
  </si>
  <si>
    <t>SDSU19995</t>
  </si>
  <si>
    <t>SDSU21677</t>
  </si>
  <si>
    <t>25_067</t>
  </si>
  <si>
    <t>25_068</t>
  </si>
  <si>
    <t>25_069</t>
  </si>
  <si>
    <t>25_070</t>
  </si>
  <si>
    <t>25_071</t>
  </si>
  <si>
    <t>25_072</t>
  </si>
  <si>
    <t>25_073</t>
  </si>
  <si>
    <t>25_074</t>
  </si>
  <si>
    <t>25_075</t>
  </si>
  <si>
    <t>25_076</t>
  </si>
  <si>
    <t>SD00062660</t>
  </si>
  <si>
    <t>SD00062784</t>
  </si>
  <si>
    <t>SD00062738</t>
  </si>
  <si>
    <t>axiallary bud</t>
  </si>
  <si>
    <t>2 axiallary buds</t>
  </si>
  <si>
    <t>saved tissue, accurate weight</t>
  </si>
  <si>
    <t>axiallary buds</t>
  </si>
  <si>
    <t>3 axiallary buds</t>
  </si>
  <si>
    <t>1 massive axiallary bud</t>
  </si>
  <si>
    <t>accurate weight, no extra tissue</t>
  </si>
  <si>
    <t>1 huge bud cluster</t>
  </si>
  <si>
    <t>bud cluster</t>
  </si>
  <si>
    <t>2 axiallary buds, tiny leaf</t>
  </si>
  <si>
    <t>saved tissue, inaccurate weight</t>
  </si>
  <si>
    <t>bud +leaf</t>
  </si>
  <si>
    <t>axiallary bud + leaf</t>
  </si>
  <si>
    <t>2 axiallary buds, 1 little leaf</t>
  </si>
  <si>
    <t>bud clusters</t>
  </si>
  <si>
    <t>1 axiallary bud 1 terminal bud cluster</t>
  </si>
  <si>
    <t>buds</t>
  </si>
  <si>
    <t>12  flower buds</t>
  </si>
  <si>
    <t>10 buds, 2 tiny leaves</t>
  </si>
  <si>
    <t>no extra tissue, inaccurate weight</t>
  </si>
  <si>
    <t>3.5?</t>
  </si>
  <si>
    <t>2 terminal bud clusters</t>
  </si>
  <si>
    <t>2 axiallary buds, 1 terminal bud cluster</t>
  </si>
  <si>
    <t>axiallary buds, bud cluster</t>
  </si>
  <si>
    <t>1 terminal bud cluster</t>
  </si>
  <si>
    <t>saved tissue(1 large bud), accurate weight</t>
  </si>
  <si>
    <t>3 axiallary buds, 1 tiny terminal bud cluster</t>
  </si>
  <si>
    <t>no extra, potentially some tissue left in bead tube, rinse w/ lysis buffer</t>
  </si>
  <si>
    <t>SD00062639</t>
  </si>
  <si>
    <t>25_077</t>
  </si>
  <si>
    <t>25_078</t>
  </si>
  <si>
    <t>25_079</t>
  </si>
  <si>
    <t>25_080</t>
  </si>
  <si>
    <t>25_081</t>
  </si>
  <si>
    <t>25_082</t>
  </si>
  <si>
    <t>25_083</t>
  </si>
  <si>
    <t>25_084</t>
  </si>
  <si>
    <t>25_085</t>
  </si>
  <si>
    <t>25_086</t>
  </si>
  <si>
    <t>25_087</t>
  </si>
  <si>
    <t>25_088</t>
  </si>
  <si>
    <t>25_089</t>
  </si>
  <si>
    <t>25_090</t>
  </si>
  <si>
    <t>25_091</t>
  </si>
  <si>
    <t>25_092</t>
  </si>
  <si>
    <t>25_093</t>
  </si>
  <si>
    <t>25_094</t>
  </si>
  <si>
    <t>25_095</t>
  </si>
  <si>
    <t>25_096</t>
  </si>
  <si>
    <t>25_097</t>
  </si>
  <si>
    <t>25_098</t>
  </si>
  <si>
    <t>25_099</t>
  </si>
  <si>
    <t>25_100</t>
  </si>
  <si>
    <t>SD00062628</t>
  </si>
  <si>
    <t>~8</t>
  </si>
  <si>
    <t>4 axillary buds</t>
  </si>
  <si>
    <t>SD00062776</t>
  </si>
  <si>
    <t>SD00062630</t>
  </si>
  <si>
    <t>~46</t>
  </si>
  <si>
    <t>SD00029907</t>
  </si>
  <si>
    <t>5 tiny axillaty buds</t>
  </si>
  <si>
    <t>SD00062725</t>
  </si>
  <si>
    <t>3 terminal bud clusters</t>
  </si>
  <si>
    <t>SD00062691</t>
  </si>
  <si>
    <t>SD00062752</t>
  </si>
  <si>
    <t>SD00062706</t>
  </si>
  <si>
    <t>few axillary and one floral bud cluster</t>
  </si>
  <si>
    <t>SD00062682</t>
  </si>
  <si>
    <t>~3</t>
  </si>
  <si>
    <t>~20</t>
  </si>
  <si>
    <t>SD00062735</t>
  </si>
  <si>
    <t>2 axillary buds, 1 terminal bud cluster</t>
  </si>
  <si>
    <t>SD00062685</t>
  </si>
  <si>
    <t>3 axillary bud, 1 terminal</t>
  </si>
  <si>
    <t>~13</t>
  </si>
  <si>
    <t>SD00062729</t>
  </si>
  <si>
    <t>mature leaf and one flw bud</t>
  </si>
  <si>
    <t>~29</t>
  </si>
  <si>
    <t>SD00062760</t>
  </si>
  <si>
    <t>SD00062583</t>
  </si>
  <si>
    <t>axillary bud, floral bud clusters</t>
  </si>
  <si>
    <t>SD00062775</t>
  </si>
  <si>
    <t>SD00062753</t>
  </si>
  <si>
    <t>~16</t>
  </si>
  <si>
    <t>3 axiallary bud, 1 little leaf</t>
  </si>
  <si>
    <t>SD00062589</t>
  </si>
  <si>
    <t>SD00062731</t>
  </si>
  <si>
    <t>SD00087803</t>
  </si>
  <si>
    <t>2 little axiallary buds, one tiny leaf</t>
  </si>
  <si>
    <t>several tiny axillary buds and a few lil leaves</t>
  </si>
  <si>
    <t>~5</t>
  </si>
  <si>
    <t>SD00062561</t>
  </si>
  <si>
    <t>5 axillary buds</t>
  </si>
  <si>
    <t>5 bud clusters</t>
  </si>
  <si>
    <t>~15</t>
  </si>
  <si>
    <t>SBBG166103</t>
  </si>
  <si>
    <t>~18</t>
  </si>
  <si>
    <t>5 axillary buds; 1 little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</si>
</sst>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333333"/>
      <name val="Helvetica Neue"/>
      <family val="2"/>
    </font>
    <font>
      <u/>
      <sz val="12"/>
      <color theme="10"/>
      <name val="Aptos Narrow"/>
      <family val="2"/>
      <scheme val="minor"/>
    </font>
    <font>
      <sz val="12"/>
      <color rgb="FF1D1C1D"/>
      <name val="Aptos Display"/>
      <scheme val="maj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0D2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5" borderId="0" xfId="0" applyFill="1"/>
    <xf numFmtId="11" fontId="0" fillId="0" borderId="0" xfId="0" applyNumberFormat="1"/>
    <xf numFmtId="0" fontId="6" fillId="0" borderId="0" xfId="0" applyFont="1"/>
    <xf numFmtId="0" fontId="7" fillId="0" borderId="0" xfId="1"/>
    <xf numFmtId="0" fontId="8" fillId="0" borderId="0" xfId="0" applyFont="1"/>
    <xf numFmtId="1" fontId="0" fillId="0" borderId="0" xfId="0" applyNumberFormat="1"/>
    <xf numFmtId="164" fontId="0" fillId="3" borderId="0" xfId="0" applyNumberFormat="1" applyFill="1"/>
    <xf numFmtId="0" fontId="8" fillId="3" borderId="0" xfId="0" applyFont="1" applyFill="1"/>
  </cellXfs>
  <cellStyles count="2">
    <cellStyle name="Hyperlink" xfId="1" builtinId="8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0D250"/>
      <color rgb="FFFD60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liaharencar/Documents/Github/Raphanus_specimen_map/Raphanus_specimens_all_2025.csv" TargetMode="External"/><Relationship Id="rId1" Type="http://schemas.openxmlformats.org/officeDocument/2006/relationships/externalLinkPath" Target="Raphanus_specimens_all_2025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phanus_specimens_all_2025"/>
    </sheetNames>
    <sheetDataSet>
      <sheetData sheetId="0">
        <row r="1">
          <cell r="A1" t="str">
            <v>id</v>
          </cell>
          <cell r="G1" t="str">
            <v>catalogNumber</v>
          </cell>
        </row>
        <row r="2">
          <cell r="A2">
            <v>5142612</v>
          </cell>
          <cell r="G2" t="str">
            <v>barcode-00404902</v>
          </cell>
        </row>
        <row r="3">
          <cell r="A3">
            <v>5865998</v>
          </cell>
        </row>
        <row r="4">
          <cell r="A4">
            <v>5866001</v>
          </cell>
        </row>
        <row r="5">
          <cell r="A5">
            <v>5866002</v>
          </cell>
        </row>
        <row r="6">
          <cell r="A6">
            <v>5866003</v>
          </cell>
        </row>
        <row r="7">
          <cell r="A7">
            <v>5866004</v>
          </cell>
        </row>
        <row r="8">
          <cell r="A8">
            <v>5866005</v>
          </cell>
        </row>
        <row r="9">
          <cell r="A9">
            <v>5866000</v>
          </cell>
        </row>
        <row r="10">
          <cell r="A10">
            <v>5865999</v>
          </cell>
        </row>
        <row r="11">
          <cell r="A11">
            <v>3584664</v>
          </cell>
          <cell r="G11" t="str">
            <v>BSCA4416</v>
          </cell>
        </row>
        <row r="12">
          <cell r="A12">
            <v>2296541</v>
          </cell>
          <cell r="G12">
            <v>74177</v>
          </cell>
        </row>
        <row r="13">
          <cell r="A13">
            <v>2334928</v>
          </cell>
          <cell r="G13">
            <v>74198</v>
          </cell>
        </row>
        <row r="14">
          <cell r="A14">
            <v>2450948</v>
          </cell>
          <cell r="G14">
            <v>74210</v>
          </cell>
        </row>
        <row r="15">
          <cell r="A15">
            <v>2385124</v>
          </cell>
          <cell r="G15">
            <v>74196</v>
          </cell>
        </row>
        <row r="16">
          <cell r="A16">
            <v>2368640</v>
          </cell>
          <cell r="G16">
            <v>74209</v>
          </cell>
        </row>
        <row r="17">
          <cell r="A17">
            <v>2398571</v>
          </cell>
          <cell r="G17">
            <v>74207</v>
          </cell>
        </row>
        <row r="18">
          <cell r="A18">
            <v>2288164</v>
          </cell>
          <cell r="G18">
            <v>74192</v>
          </cell>
        </row>
        <row r="19">
          <cell r="A19">
            <v>2463835</v>
          </cell>
          <cell r="G19">
            <v>74205</v>
          </cell>
        </row>
        <row r="20">
          <cell r="A20">
            <v>2293307</v>
          </cell>
          <cell r="G20">
            <v>74183</v>
          </cell>
        </row>
        <row r="21">
          <cell r="A21">
            <v>2405523</v>
          </cell>
          <cell r="G21">
            <v>74175</v>
          </cell>
        </row>
        <row r="22">
          <cell r="A22">
            <v>2411397</v>
          </cell>
          <cell r="G22">
            <v>74215</v>
          </cell>
        </row>
        <row r="23">
          <cell r="A23">
            <v>2324177</v>
          </cell>
          <cell r="G23">
            <v>74208</v>
          </cell>
        </row>
        <row r="24">
          <cell r="A24">
            <v>2288810</v>
          </cell>
          <cell r="G24">
            <v>74216</v>
          </cell>
        </row>
        <row r="25">
          <cell r="A25">
            <v>2292239</v>
          </cell>
          <cell r="G25">
            <v>74194</v>
          </cell>
        </row>
        <row r="26">
          <cell r="A26">
            <v>2450089</v>
          </cell>
          <cell r="G26">
            <v>74197</v>
          </cell>
        </row>
        <row r="27">
          <cell r="A27">
            <v>5504845</v>
          </cell>
          <cell r="G27">
            <v>684482</v>
          </cell>
        </row>
        <row r="28">
          <cell r="A28">
            <v>2311342</v>
          </cell>
          <cell r="G28">
            <v>74195</v>
          </cell>
        </row>
        <row r="29">
          <cell r="A29">
            <v>2324050</v>
          </cell>
          <cell r="G29">
            <v>74181</v>
          </cell>
        </row>
        <row r="30">
          <cell r="A30">
            <v>2370292</v>
          </cell>
          <cell r="G30">
            <v>74202</v>
          </cell>
        </row>
        <row r="31">
          <cell r="A31">
            <v>2358623</v>
          </cell>
          <cell r="G31">
            <v>74178</v>
          </cell>
        </row>
        <row r="32">
          <cell r="A32">
            <v>2298844</v>
          </cell>
          <cell r="G32">
            <v>74186</v>
          </cell>
        </row>
        <row r="33">
          <cell r="A33">
            <v>2393459</v>
          </cell>
          <cell r="G33">
            <v>74206</v>
          </cell>
        </row>
        <row r="34">
          <cell r="A34">
            <v>2291983</v>
          </cell>
          <cell r="G34">
            <v>74184</v>
          </cell>
        </row>
        <row r="35">
          <cell r="A35">
            <v>2465925</v>
          </cell>
          <cell r="G35">
            <v>74185</v>
          </cell>
        </row>
        <row r="36">
          <cell r="A36">
            <v>2569126</v>
          </cell>
          <cell r="G36">
            <v>227683</v>
          </cell>
        </row>
        <row r="37">
          <cell r="A37">
            <v>2298121</v>
          </cell>
          <cell r="G37">
            <v>74191</v>
          </cell>
        </row>
        <row r="38">
          <cell r="A38">
            <v>5504847</v>
          </cell>
          <cell r="G38">
            <v>684484</v>
          </cell>
        </row>
        <row r="39">
          <cell r="A39">
            <v>2318143</v>
          </cell>
          <cell r="G39">
            <v>74176</v>
          </cell>
        </row>
        <row r="40">
          <cell r="A40">
            <v>2424544</v>
          </cell>
          <cell r="G40">
            <v>74190</v>
          </cell>
        </row>
        <row r="41">
          <cell r="A41">
            <v>2391912</v>
          </cell>
          <cell r="G41">
            <v>74211</v>
          </cell>
        </row>
        <row r="42">
          <cell r="A42">
            <v>2433969</v>
          </cell>
          <cell r="G42">
            <v>74212</v>
          </cell>
        </row>
        <row r="43">
          <cell r="A43">
            <v>2462190</v>
          </cell>
          <cell r="G43">
            <v>74213</v>
          </cell>
        </row>
        <row r="44">
          <cell r="A44">
            <v>5504849</v>
          </cell>
          <cell r="G44">
            <v>684486</v>
          </cell>
        </row>
        <row r="45">
          <cell r="A45">
            <v>2359565</v>
          </cell>
          <cell r="G45">
            <v>74193</v>
          </cell>
        </row>
        <row r="46">
          <cell r="A46">
            <v>2332455</v>
          </cell>
          <cell r="G46">
            <v>74218</v>
          </cell>
        </row>
        <row r="47">
          <cell r="A47">
            <v>2347205</v>
          </cell>
          <cell r="G47">
            <v>74217</v>
          </cell>
        </row>
        <row r="48">
          <cell r="A48">
            <v>2432397</v>
          </cell>
          <cell r="G48">
            <v>74187</v>
          </cell>
        </row>
        <row r="49">
          <cell r="A49">
            <v>5504848</v>
          </cell>
          <cell r="G49">
            <v>684485</v>
          </cell>
        </row>
        <row r="50">
          <cell r="A50">
            <v>2397709</v>
          </cell>
          <cell r="G50">
            <v>74201</v>
          </cell>
        </row>
        <row r="51">
          <cell r="A51">
            <v>5504844</v>
          </cell>
          <cell r="G51">
            <v>684481</v>
          </cell>
        </row>
        <row r="52">
          <cell r="A52">
            <v>2342720</v>
          </cell>
          <cell r="G52">
            <v>74214</v>
          </cell>
        </row>
        <row r="53">
          <cell r="A53">
            <v>5504846</v>
          </cell>
          <cell r="G53">
            <v>684483</v>
          </cell>
        </row>
        <row r="54">
          <cell r="A54">
            <v>2291266</v>
          </cell>
          <cell r="G54">
            <v>74199</v>
          </cell>
        </row>
        <row r="55">
          <cell r="A55">
            <v>2767670</v>
          </cell>
          <cell r="G55">
            <v>539311</v>
          </cell>
        </row>
        <row r="56">
          <cell r="A56">
            <v>2322844</v>
          </cell>
          <cell r="G56">
            <v>74182</v>
          </cell>
        </row>
        <row r="57">
          <cell r="A57">
            <v>2355201</v>
          </cell>
          <cell r="G57">
            <v>74180</v>
          </cell>
        </row>
        <row r="58">
          <cell r="A58">
            <v>2278606</v>
          </cell>
          <cell r="G58">
            <v>74203</v>
          </cell>
        </row>
        <row r="59">
          <cell r="A59">
            <v>2308947</v>
          </cell>
          <cell r="G59">
            <v>74179</v>
          </cell>
        </row>
        <row r="60">
          <cell r="A60">
            <v>2318818</v>
          </cell>
          <cell r="G60">
            <v>74200</v>
          </cell>
        </row>
        <row r="61">
          <cell r="A61">
            <v>2405194</v>
          </cell>
          <cell r="G61">
            <v>74188</v>
          </cell>
        </row>
        <row r="62">
          <cell r="A62">
            <v>2355610</v>
          </cell>
          <cell r="G62">
            <v>74204</v>
          </cell>
        </row>
        <row r="63">
          <cell r="A63">
            <v>2767898</v>
          </cell>
          <cell r="G63">
            <v>539372</v>
          </cell>
        </row>
        <row r="64">
          <cell r="A64">
            <v>2387538</v>
          </cell>
          <cell r="G64">
            <v>58407</v>
          </cell>
        </row>
        <row r="65">
          <cell r="A65">
            <v>2286213</v>
          </cell>
          <cell r="G65">
            <v>74276</v>
          </cell>
        </row>
        <row r="66">
          <cell r="A66">
            <v>2448284</v>
          </cell>
          <cell r="G66">
            <v>74317</v>
          </cell>
        </row>
        <row r="67">
          <cell r="A67">
            <v>2283873</v>
          </cell>
          <cell r="G67">
            <v>74352</v>
          </cell>
        </row>
        <row r="68">
          <cell r="A68">
            <v>2286564</v>
          </cell>
          <cell r="G68">
            <v>74343</v>
          </cell>
        </row>
        <row r="69">
          <cell r="A69">
            <v>2342281</v>
          </cell>
          <cell r="G69">
            <v>74316</v>
          </cell>
        </row>
        <row r="70">
          <cell r="A70">
            <v>2453178</v>
          </cell>
          <cell r="G70">
            <v>74219</v>
          </cell>
        </row>
        <row r="71">
          <cell r="A71">
            <v>2271679</v>
          </cell>
          <cell r="G71">
            <v>74261</v>
          </cell>
        </row>
        <row r="72">
          <cell r="A72">
            <v>2440540</v>
          </cell>
          <cell r="G72">
            <v>74278</v>
          </cell>
        </row>
        <row r="73">
          <cell r="A73">
            <v>2302311</v>
          </cell>
          <cell r="G73">
            <v>74297</v>
          </cell>
        </row>
        <row r="74">
          <cell r="A74">
            <v>2393985</v>
          </cell>
          <cell r="G74">
            <v>74296</v>
          </cell>
        </row>
        <row r="75">
          <cell r="A75">
            <v>2446662</v>
          </cell>
          <cell r="G75">
            <v>74295</v>
          </cell>
        </row>
        <row r="76">
          <cell r="A76">
            <v>2300919</v>
          </cell>
          <cell r="G76">
            <v>74309</v>
          </cell>
        </row>
        <row r="77">
          <cell r="A77">
            <v>2316473</v>
          </cell>
          <cell r="G77">
            <v>74304</v>
          </cell>
        </row>
        <row r="78">
          <cell r="A78">
            <v>2336172</v>
          </cell>
          <cell r="G78">
            <v>74305</v>
          </cell>
        </row>
        <row r="79">
          <cell r="A79">
            <v>2340225</v>
          </cell>
          <cell r="G79">
            <v>74344</v>
          </cell>
        </row>
        <row r="80">
          <cell r="A80">
            <v>2390205</v>
          </cell>
          <cell r="G80">
            <v>74346</v>
          </cell>
        </row>
        <row r="81">
          <cell r="A81">
            <v>2465901</v>
          </cell>
          <cell r="G81">
            <v>74345</v>
          </cell>
        </row>
        <row r="82">
          <cell r="A82">
            <v>2437901</v>
          </cell>
          <cell r="G82">
            <v>74235</v>
          </cell>
        </row>
        <row r="83">
          <cell r="A83">
            <v>2286003</v>
          </cell>
          <cell r="G83">
            <v>74303</v>
          </cell>
        </row>
        <row r="84">
          <cell r="A84">
            <v>2294495</v>
          </cell>
          <cell r="G84">
            <v>74302</v>
          </cell>
        </row>
        <row r="85">
          <cell r="A85">
            <v>2328808</v>
          </cell>
          <cell r="G85">
            <v>74301</v>
          </cell>
        </row>
        <row r="86">
          <cell r="A86">
            <v>2426166</v>
          </cell>
          <cell r="G86">
            <v>74363</v>
          </cell>
        </row>
        <row r="87">
          <cell r="A87">
            <v>2298082</v>
          </cell>
          <cell r="G87">
            <v>74233</v>
          </cell>
        </row>
        <row r="88">
          <cell r="A88">
            <v>2312024</v>
          </cell>
          <cell r="G88">
            <v>74263</v>
          </cell>
        </row>
        <row r="89">
          <cell r="A89">
            <v>2465731</v>
          </cell>
          <cell r="G89">
            <v>74262</v>
          </cell>
        </row>
        <row r="90">
          <cell r="A90">
            <v>2457381</v>
          </cell>
          <cell r="G90">
            <v>74311</v>
          </cell>
        </row>
        <row r="91">
          <cell r="A91">
            <v>2305031</v>
          </cell>
          <cell r="G91">
            <v>74281</v>
          </cell>
        </row>
        <row r="92">
          <cell r="A92">
            <v>2363992</v>
          </cell>
          <cell r="G92">
            <v>74220</v>
          </cell>
        </row>
        <row r="93">
          <cell r="A93">
            <v>2336537</v>
          </cell>
          <cell r="G93">
            <v>74243</v>
          </cell>
        </row>
        <row r="94">
          <cell r="A94">
            <v>2367740</v>
          </cell>
          <cell r="G94">
            <v>74231</v>
          </cell>
        </row>
        <row r="95">
          <cell r="A95">
            <v>2357521</v>
          </cell>
          <cell r="G95">
            <v>74241</v>
          </cell>
        </row>
        <row r="96">
          <cell r="A96">
            <v>2342396</v>
          </cell>
          <cell r="G96">
            <v>74312</v>
          </cell>
        </row>
        <row r="97">
          <cell r="A97">
            <v>2317066</v>
          </cell>
          <cell r="G97">
            <v>74244</v>
          </cell>
        </row>
        <row r="98">
          <cell r="A98">
            <v>2322547</v>
          </cell>
          <cell r="G98">
            <v>74245</v>
          </cell>
        </row>
        <row r="99">
          <cell r="A99">
            <v>2352540</v>
          </cell>
          <cell r="G99">
            <v>74248</v>
          </cell>
        </row>
        <row r="100">
          <cell r="A100">
            <v>2366181</v>
          </cell>
          <cell r="G100">
            <v>74247</v>
          </cell>
        </row>
        <row r="101">
          <cell r="A101">
            <v>2388593</v>
          </cell>
          <cell r="G101">
            <v>74249</v>
          </cell>
        </row>
        <row r="102">
          <cell r="A102">
            <v>2422481</v>
          </cell>
          <cell r="G102">
            <v>74246</v>
          </cell>
        </row>
        <row r="103">
          <cell r="A103">
            <v>2446817</v>
          </cell>
          <cell r="G103">
            <v>74250</v>
          </cell>
        </row>
        <row r="104">
          <cell r="A104">
            <v>2401356</v>
          </cell>
          <cell r="G104">
            <v>74221</v>
          </cell>
        </row>
        <row r="105">
          <cell r="A105">
            <v>2331781</v>
          </cell>
          <cell r="G105">
            <v>74362</v>
          </cell>
        </row>
        <row r="106">
          <cell r="A106">
            <v>2413972</v>
          </cell>
          <cell r="G106">
            <v>74264</v>
          </cell>
        </row>
        <row r="107">
          <cell r="A107">
            <v>2395018</v>
          </cell>
          <cell r="G107">
            <v>74260</v>
          </cell>
        </row>
        <row r="108">
          <cell r="A108">
            <v>2311023</v>
          </cell>
          <cell r="G108">
            <v>74259</v>
          </cell>
        </row>
        <row r="109">
          <cell r="A109">
            <v>2431017</v>
          </cell>
          <cell r="G109">
            <v>74222</v>
          </cell>
        </row>
        <row r="110">
          <cell r="A110">
            <v>2366615</v>
          </cell>
          <cell r="G110">
            <v>74232</v>
          </cell>
        </row>
        <row r="111">
          <cell r="A111">
            <v>2386302</v>
          </cell>
          <cell r="G111">
            <v>74329</v>
          </cell>
        </row>
        <row r="112">
          <cell r="A112">
            <v>2408641</v>
          </cell>
          <cell r="G112">
            <v>74267</v>
          </cell>
        </row>
        <row r="113">
          <cell r="A113">
            <v>2440492</v>
          </cell>
          <cell r="G113">
            <v>74279</v>
          </cell>
        </row>
        <row r="114">
          <cell r="A114">
            <v>2449627</v>
          </cell>
          <cell r="G114">
            <v>74280</v>
          </cell>
        </row>
        <row r="115">
          <cell r="A115">
            <v>2361025</v>
          </cell>
          <cell r="G115">
            <v>74229</v>
          </cell>
        </row>
        <row r="116">
          <cell r="A116">
            <v>2384991</v>
          </cell>
          <cell r="G116">
            <v>74230</v>
          </cell>
        </row>
        <row r="117">
          <cell r="A117">
            <v>2338864</v>
          </cell>
          <cell r="G117">
            <v>74333</v>
          </cell>
        </row>
        <row r="118">
          <cell r="A118">
            <v>2771952</v>
          </cell>
          <cell r="G118">
            <v>550561</v>
          </cell>
        </row>
        <row r="119">
          <cell r="A119">
            <v>2771954</v>
          </cell>
          <cell r="G119">
            <v>550563</v>
          </cell>
        </row>
        <row r="120">
          <cell r="A120">
            <v>2772139</v>
          </cell>
          <cell r="G120">
            <v>550649</v>
          </cell>
        </row>
        <row r="121">
          <cell r="A121">
            <v>2773470</v>
          </cell>
          <cell r="G121">
            <v>554230</v>
          </cell>
        </row>
        <row r="122">
          <cell r="A122">
            <v>2772132</v>
          </cell>
          <cell r="G122">
            <v>550642</v>
          </cell>
        </row>
        <row r="123">
          <cell r="A123">
            <v>2772133</v>
          </cell>
          <cell r="G123">
            <v>550643</v>
          </cell>
        </row>
        <row r="124">
          <cell r="A124">
            <v>2299319</v>
          </cell>
          <cell r="G124">
            <v>74251</v>
          </cell>
        </row>
        <row r="125">
          <cell r="A125">
            <v>2423815</v>
          </cell>
          <cell r="G125">
            <v>74252</v>
          </cell>
        </row>
        <row r="126">
          <cell r="A126">
            <v>2395595</v>
          </cell>
          <cell r="G126">
            <v>74242</v>
          </cell>
        </row>
        <row r="127">
          <cell r="A127">
            <v>2291878</v>
          </cell>
          <cell r="G127">
            <v>74283</v>
          </cell>
        </row>
        <row r="128">
          <cell r="A128">
            <v>2315912</v>
          </cell>
          <cell r="G128">
            <v>74347</v>
          </cell>
        </row>
        <row r="129">
          <cell r="A129">
            <v>2390070</v>
          </cell>
          <cell r="G129">
            <v>74348</v>
          </cell>
        </row>
        <row r="130">
          <cell r="A130">
            <v>2270810</v>
          </cell>
          <cell r="G130">
            <v>74353</v>
          </cell>
        </row>
        <row r="131">
          <cell r="A131">
            <v>2385707</v>
          </cell>
          <cell r="G131">
            <v>74355</v>
          </cell>
        </row>
        <row r="132">
          <cell r="A132">
            <v>2446523</v>
          </cell>
          <cell r="G132">
            <v>74354</v>
          </cell>
        </row>
        <row r="133">
          <cell r="A133">
            <v>2334980</v>
          </cell>
          <cell r="G133">
            <v>74356</v>
          </cell>
        </row>
        <row r="134">
          <cell r="A134">
            <v>2358602</v>
          </cell>
          <cell r="G134">
            <v>74223</v>
          </cell>
        </row>
        <row r="135">
          <cell r="A135">
            <v>2411987</v>
          </cell>
          <cell r="G135">
            <v>74331</v>
          </cell>
        </row>
        <row r="136">
          <cell r="A136">
            <v>2414651</v>
          </cell>
          <cell r="G136">
            <v>74335</v>
          </cell>
        </row>
        <row r="137">
          <cell r="A137">
            <v>2423571</v>
          </cell>
          <cell r="G137">
            <v>74358</v>
          </cell>
        </row>
        <row r="138">
          <cell r="A138">
            <v>2360184</v>
          </cell>
          <cell r="G138">
            <v>74357</v>
          </cell>
        </row>
        <row r="139">
          <cell r="A139">
            <v>2275918</v>
          </cell>
          <cell r="G139">
            <v>74350</v>
          </cell>
        </row>
        <row r="140">
          <cell r="A140">
            <v>2282381</v>
          </cell>
          <cell r="G140">
            <v>74359</v>
          </cell>
        </row>
        <row r="141">
          <cell r="A141">
            <v>2380407</v>
          </cell>
          <cell r="G141">
            <v>74360</v>
          </cell>
        </row>
        <row r="142">
          <cell r="A142">
            <v>2460390</v>
          </cell>
          <cell r="G142">
            <v>74361</v>
          </cell>
        </row>
        <row r="143">
          <cell r="A143">
            <v>2413016</v>
          </cell>
          <cell r="G143">
            <v>74336</v>
          </cell>
        </row>
        <row r="144">
          <cell r="A144">
            <v>2283407</v>
          </cell>
          <cell r="G144">
            <v>74225</v>
          </cell>
        </row>
        <row r="145">
          <cell r="A145">
            <v>2355525</v>
          </cell>
          <cell r="G145">
            <v>74224</v>
          </cell>
        </row>
        <row r="146">
          <cell r="A146">
            <v>2321963</v>
          </cell>
          <cell r="G146">
            <v>74308</v>
          </cell>
        </row>
        <row r="147">
          <cell r="A147">
            <v>2285742</v>
          </cell>
          <cell r="G147">
            <v>74327</v>
          </cell>
        </row>
        <row r="148">
          <cell r="A148">
            <v>2399359</v>
          </cell>
          <cell r="G148">
            <v>74349</v>
          </cell>
        </row>
        <row r="149">
          <cell r="A149">
            <v>2287008</v>
          </cell>
          <cell r="G149">
            <v>74320</v>
          </cell>
        </row>
        <row r="150">
          <cell r="A150">
            <v>2437632</v>
          </cell>
          <cell r="G150">
            <v>74321</v>
          </cell>
        </row>
        <row r="151">
          <cell r="A151">
            <v>2391489</v>
          </cell>
          <cell r="G151">
            <v>74332</v>
          </cell>
        </row>
        <row r="152">
          <cell r="A152">
            <v>2332340</v>
          </cell>
          <cell r="G152">
            <v>74271</v>
          </cell>
        </row>
        <row r="153">
          <cell r="A153">
            <v>2393200</v>
          </cell>
          <cell r="G153">
            <v>74270</v>
          </cell>
        </row>
        <row r="154">
          <cell r="A154">
            <v>2300993</v>
          </cell>
          <cell r="G154">
            <v>74325</v>
          </cell>
        </row>
        <row r="155">
          <cell r="A155">
            <v>2316628</v>
          </cell>
          <cell r="G155">
            <v>74323</v>
          </cell>
        </row>
        <row r="156">
          <cell r="A156">
            <v>2412262</v>
          </cell>
          <cell r="G156">
            <v>74328</v>
          </cell>
        </row>
        <row r="157">
          <cell r="A157">
            <v>2420423</v>
          </cell>
          <cell r="G157">
            <v>74322</v>
          </cell>
        </row>
        <row r="158">
          <cell r="A158">
            <v>2369931</v>
          </cell>
          <cell r="G158">
            <v>74273</v>
          </cell>
        </row>
        <row r="159">
          <cell r="A159">
            <v>2422780</v>
          </cell>
          <cell r="G159">
            <v>74272</v>
          </cell>
        </row>
        <row r="160">
          <cell r="A160">
            <v>2369059</v>
          </cell>
          <cell r="G160">
            <v>74298</v>
          </cell>
        </row>
        <row r="161">
          <cell r="A161">
            <v>2377415</v>
          </cell>
          <cell r="G161">
            <v>74330</v>
          </cell>
        </row>
        <row r="162">
          <cell r="A162">
            <v>2456431</v>
          </cell>
          <cell r="G162">
            <v>74282</v>
          </cell>
        </row>
        <row r="163">
          <cell r="A163">
            <v>2406304</v>
          </cell>
          <cell r="G163">
            <v>74326</v>
          </cell>
        </row>
        <row r="164">
          <cell r="A164">
            <v>2442814</v>
          </cell>
          <cell r="G164">
            <v>74240</v>
          </cell>
        </row>
        <row r="165">
          <cell r="A165">
            <v>2378585</v>
          </cell>
          <cell r="G165">
            <v>74277</v>
          </cell>
        </row>
        <row r="166">
          <cell r="A166">
            <v>2333212</v>
          </cell>
          <cell r="G166">
            <v>74290</v>
          </cell>
        </row>
        <row r="167">
          <cell r="A167">
            <v>2409497</v>
          </cell>
          <cell r="G167">
            <v>74291</v>
          </cell>
        </row>
        <row r="168">
          <cell r="A168">
            <v>2289763</v>
          </cell>
          <cell r="G168">
            <v>74313</v>
          </cell>
        </row>
        <row r="169">
          <cell r="A169">
            <v>2290828</v>
          </cell>
          <cell r="G169">
            <v>74234</v>
          </cell>
        </row>
        <row r="170">
          <cell r="A170">
            <v>5504863</v>
          </cell>
          <cell r="G170">
            <v>684502</v>
          </cell>
        </row>
        <row r="171">
          <cell r="A171">
            <v>5569675</v>
          </cell>
          <cell r="G171">
            <v>684518</v>
          </cell>
        </row>
        <row r="172">
          <cell r="A172">
            <v>5569850</v>
          </cell>
          <cell r="G172">
            <v>685177</v>
          </cell>
        </row>
        <row r="173">
          <cell r="A173">
            <v>5504851</v>
          </cell>
          <cell r="G173">
            <v>684488</v>
          </cell>
        </row>
        <row r="174">
          <cell r="A174">
            <v>2373106</v>
          </cell>
          <cell r="G174">
            <v>74226</v>
          </cell>
        </row>
        <row r="175">
          <cell r="A175">
            <v>5504855</v>
          </cell>
          <cell r="G175">
            <v>684492</v>
          </cell>
        </row>
        <row r="176">
          <cell r="A176">
            <v>5504856</v>
          </cell>
          <cell r="G176">
            <v>684493</v>
          </cell>
        </row>
        <row r="177">
          <cell r="A177">
            <v>5504857</v>
          </cell>
          <cell r="G177">
            <v>684494</v>
          </cell>
        </row>
        <row r="178">
          <cell r="A178">
            <v>2345323</v>
          </cell>
          <cell r="G178">
            <v>74239</v>
          </cell>
        </row>
        <row r="179">
          <cell r="A179">
            <v>5504861</v>
          </cell>
          <cell r="G179">
            <v>684499</v>
          </cell>
        </row>
        <row r="180">
          <cell r="A180">
            <v>5569673</v>
          </cell>
          <cell r="G180">
            <v>684516</v>
          </cell>
        </row>
        <row r="181">
          <cell r="A181">
            <v>5569676</v>
          </cell>
          <cell r="G181">
            <v>684519</v>
          </cell>
        </row>
        <row r="182">
          <cell r="A182">
            <v>2388759</v>
          </cell>
          <cell r="G182">
            <v>74306</v>
          </cell>
        </row>
        <row r="183">
          <cell r="A183">
            <v>2462821</v>
          </cell>
          <cell r="G183">
            <v>74307</v>
          </cell>
        </row>
        <row r="184">
          <cell r="A184">
            <v>2371446</v>
          </cell>
          <cell r="G184">
            <v>74337</v>
          </cell>
        </row>
        <row r="185">
          <cell r="A185">
            <v>2447532</v>
          </cell>
          <cell r="G185">
            <v>74341</v>
          </cell>
        </row>
        <row r="186">
          <cell r="A186">
            <v>5504862</v>
          </cell>
          <cell r="G186">
            <v>684501</v>
          </cell>
        </row>
        <row r="187">
          <cell r="A187">
            <v>5504867</v>
          </cell>
          <cell r="G187">
            <v>684506</v>
          </cell>
        </row>
        <row r="188">
          <cell r="A188">
            <v>5504875</v>
          </cell>
          <cell r="G188">
            <v>684514</v>
          </cell>
        </row>
        <row r="189">
          <cell r="A189">
            <v>5569677</v>
          </cell>
          <cell r="G189">
            <v>684520</v>
          </cell>
        </row>
        <row r="190">
          <cell r="A190">
            <v>5569682</v>
          </cell>
          <cell r="G190">
            <v>684525</v>
          </cell>
        </row>
        <row r="191">
          <cell r="A191">
            <v>2359386</v>
          </cell>
          <cell r="G191">
            <v>74319</v>
          </cell>
        </row>
        <row r="192">
          <cell r="A192">
            <v>2390281</v>
          </cell>
          <cell r="G192">
            <v>74318</v>
          </cell>
        </row>
        <row r="193">
          <cell r="A193">
            <v>2464854</v>
          </cell>
          <cell r="G193">
            <v>74334</v>
          </cell>
        </row>
        <row r="194">
          <cell r="A194">
            <v>2415893</v>
          </cell>
          <cell r="G194">
            <v>74269</v>
          </cell>
        </row>
        <row r="195">
          <cell r="A195">
            <v>5504854</v>
          </cell>
          <cell r="G195">
            <v>684491</v>
          </cell>
        </row>
        <row r="196">
          <cell r="A196">
            <v>5504864</v>
          </cell>
          <cell r="G196">
            <v>684503</v>
          </cell>
        </row>
        <row r="197">
          <cell r="A197">
            <v>5504871</v>
          </cell>
          <cell r="G197">
            <v>684510</v>
          </cell>
        </row>
        <row r="198">
          <cell r="A198">
            <v>5504872</v>
          </cell>
          <cell r="G198">
            <v>684511</v>
          </cell>
        </row>
        <row r="199">
          <cell r="A199">
            <v>5504874</v>
          </cell>
          <cell r="G199">
            <v>684513</v>
          </cell>
        </row>
        <row r="200">
          <cell r="A200">
            <v>5569672</v>
          </cell>
          <cell r="G200">
            <v>684515</v>
          </cell>
        </row>
        <row r="201">
          <cell r="A201">
            <v>5569678</v>
          </cell>
          <cell r="G201">
            <v>684521</v>
          </cell>
        </row>
        <row r="202">
          <cell r="A202">
            <v>5569679</v>
          </cell>
          <cell r="G202">
            <v>684522</v>
          </cell>
        </row>
        <row r="203">
          <cell r="A203">
            <v>5569849</v>
          </cell>
          <cell r="G203">
            <v>685176</v>
          </cell>
        </row>
        <row r="204">
          <cell r="A204">
            <v>2324744</v>
          </cell>
          <cell r="G204">
            <v>74284</v>
          </cell>
        </row>
        <row r="205">
          <cell r="A205">
            <v>2425563</v>
          </cell>
          <cell r="G205">
            <v>74285</v>
          </cell>
        </row>
        <row r="206">
          <cell r="A206">
            <v>2422811</v>
          </cell>
          <cell r="G206">
            <v>74227</v>
          </cell>
        </row>
        <row r="207">
          <cell r="A207">
            <v>5569855</v>
          </cell>
          <cell r="G207">
            <v>685183</v>
          </cell>
        </row>
        <row r="208">
          <cell r="A208">
            <v>2313500</v>
          </cell>
          <cell r="G208">
            <v>74288</v>
          </cell>
        </row>
        <row r="209">
          <cell r="A209">
            <v>2310420</v>
          </cell>
          <cell r="G209">
            <v>74253</v>
          </cell>
        </row>
        <row r="210">
          <cell r="A210">
            <v>2393898</v>
          </cell>
          <cell r="G210">
            <v>74254</v>
          </cell>
        </row>
        <row r="211">
          <cell r="A211">
            <v>2414047</v>
          </cell>
          <cell r="G211">
            <v>74255</v>
          </cell>
        </row>
        <row r="212">
          <cell r="A212">
            <v>5569674</v>
          </cell>
          <cell r="G212">
            <v>684517</v>
          </cell>
        </row>
        <row r="213">
          <cell r="A213">
            <v>2272450</v>
          </cell>
          <cell r="G213">
            <v>74275</v>
          </cell>
        </row>
        <row r="214">
          <cell r="A214">
            <v>2390050</v>
          </cell>
          <cell r="G214">
            <v>74274</v>
          </cell>
        </row>
        <row r="215">
          <cell r="A215">
            <v>2290954</v>
          </cell>
          <cell r="G215">
            <v>74257</v>
          </cell>
        </row>
        <row r="216">
          <cell r="A216">
            <v>2328064</v>
          </cell>
          <cell r="G216">
            <v>74256</v>
          </cell>
        </row>
        <row r="217">
          <cell r="A217">
            <v>2272859</v>
          </cell>
          <cell r="G217">
            <v>74258</v>
          </cell>
        </row>
        <row r="218">
          <cell r="A218">
            <v>5504859</v>
          </cell>
          <cell r="G218">
            <v>684497</v>
          </cell>
        </row>
        <row r="219">
          <cell r="A219">
            <v>2290218</v>
          </cell>
          <cell r="G219">
            <v>74286</v>
          </cell>
        </row>
        <row r="220">
          <cell r="A220">
            <v>5504860</v>
          </cell>
          <cell r="G220">
            <v>684498</v>
          </cell>
        </row>
        <row r="221">
          <cell r="A221">
            <v>5504865</v>
          </cell>
          <cell r="G221">
            <v>684504</v>
          </cell>
        </row>
        <row r="222">
          <cell r="A222">
            <v>2403101</v>
          </cell>
          <cell r="G222">
            <v>74287</v>
          </cell>
        </row>
        <row r="223">
          <cell r="A223">
            <v>5504852</v>
          </cell>
          <cell r="G223">
            <v>684489</v>
          </cell>
        </row>
        <row r="224">
          <cell r="A224">
            <v>5504853</v>
          </cell>
          <cell r="G224">
            <v>684490</v>
          </cell>
        </row>
        <row r="225">
          <cell r="A225">
            <v>2378472</v>
          </cell>
          <cell r="G225">
            <v>74299</v>
          </cell>
        </row>
        <row r="226">
          <cell r="A226">
            <v>2452819</v>
          </cell>
          <cell r="G226">
            <v>74300</v>
          </cell>
        </row>
        <row r="227">
          <cell r="A227">
            <v>5569854</v>
          </cell>
          <cell r="G227">
            <v>685182</v>
          </cell>
        </row>
        <row r="228">
          <cell r="A228">
            <v>5504866</v>
          </cell>
          <cell r="G228">
            <v>684505</v>
          </cell>
        </row>
        <row r="229">
          <cell r="A229">
            <v>5697344</v>
          </cell>
          <cell r="G229">
            <v>684496</v>
          </cell>
        </row>
        <row r="230">
          <cell r="A230">
            <v>5569852</v>
          </cell>
          <cell r="G230">
            <v>685180</v>
          </cell>
        </row>
        <row r="231">
          <cell r="A231">
            <v>5569853</v>
          </cell>
          <cell r="G231">
            <v>685181</v>
          </cell>
        </row>
        <row r="232">
          <cell r="A232">
            <v>2457183</v>
          </cell>
          <cell r="G232">
            <v>74340</v>
          </cell>
        </row>
        <row r="233">
          <cell r="A233">
            <v>5504868</v>
          </cell>
          <cell r="G233">
            <v>684507</v>
          </cell>
        </row>
        <row r="234">
          <cell r="A234">
            <v>2439512</v>
          </cell>
          <cell r="G234">
            <v>74266</v>
          </cell>
        </row>
        <row r="235">
          <cell r="A235">
            <v>2406880</v>
          </cell>
          <cell r="G235">
            <v>74339</v>
          </cell>
        </row>
        <row r="236">
          <cell r="A236">
            <v>5504858</v>
          </cell>
          <cell r="G236">
            <v>684495</v>
          </cell>
        </row>
        <row r="237">
          <cell r="A237">
            <v>2438182</v>
          </cell>
          <cell r="G237">
            <v>74338</v>
          </cell>
        </row>
        <row r="238">
          <cell r="A238">
            <v>2395241</v>
          </cell>
          <cell r="G238">
            <v>74351</v>
          </cell>
        </row>
        <row r="239">
          <cell r="A239">
            <v>5504870</v>
          </cell>
          <cell r="G239">
            <v>684509</v>
          </cell>
        </row>
        <row r="240">
          <cell r="A240">
            <v>2404723</v>
          </cell>
          <cell r="G240">
            <v>74228</v>
          </cell>
        </row>
        <row r="241">
          <cell r="A241">
            <v>2343402</v>
          </cell>
          <cell r="G241">
            <v>74268</v>
          </cell>
        </row>
        <row r="242">
          <cell r="A242">
            <v>2312543</v>
          </cell>
          <cell r="G242">
            <v>74293</v>
          </cell>
        </row>
        <row r="243">
          <cell r="A243">
            <v>2355178</v>
          </cell>
          <cell r="G243">
            <v>74292</v>
          </cell>
        </row>
        <row r="244">
          <cell r="A244">
            <v>2414894</v>
          </cell>
          <cell r="G244">
            <v>74294</v>
          </cell>
        </row>
        <row r="245">
          <cell r="A245">
            <v>2314219</v>
          </cell>
          <cell r="G245">
            <v>74265</v>
          </cell>
        </row>
        <row r="246">
          <cell r="A246">
            <v>2286151</v>
          </cell>
          <cell r="G246">
            <v>74314</v>
          </cell>
        </row>
        <row r="247">
          <cell r="A247">
            <v>2423284</v>
          </cell>
          <cell r="G247">
            <v>74315</v>
          </cell>
        </row>
        <row r="248">
          <cell r="A248">
            <v>2315373</v>
          </cell>
          <cell r="G248">
            <v>74238</v>
          </cell>
        </row>
        <row r="249">
          <cell r="A249">
            <v>5504869</v>
          </cell>
          <cell r="G249">
            <v>684508</v>
          </cell>
        </row>
        <row r="250">
          <cell r="A250">
            <v>5569680</v>
          </cell>
          <cell r="G250">
            <v>684523</v>
          </cell>
        </row>
        <row r="251">
          <cell r="A251">
            <v>5569681</v>
          </cell>
          <cell r="G251">
            <v>684524</v>
          </cell>
        </row>
        <row r="252">
          <cell r="A252">
            <v>2287409</v>
          </cell>
          <cell r="G252">
            <v>74310</v>
          </cell>
        </row>
        <row r="253">
          <cell r="A253">
            <v>2322749</v>
          </cell>
          <cell r="G253">
            <v>74237</v>
          </cell>
        </row>
        <row r="254">
          <cell r="A254">
            <v>5043016</v>
          </cell>
          <cell r="G254">
            <v>656433</v>
          </cell>
        </row>
        <row r="255">
          <cell r="A255">
            <v>2369553</v>
          </cell>
          <cell r="G255">
            <v>74236</v>
          </cell>
        </row>
        <row r="256">
          <cell r="A256">
            <v>2305663</v>
          </cell>
          <cell r="G256">
            <v>74324</v>
          </cell>
        </row>
        <row r="257">
          <cell r="A257">
            <v>6040567</v>
          </cell>
          <cell r="G257">
            <v>720761</v>
          </cell>
        </row>
        <row r="258">
          <cell r="A258">
            <v>6040950</v>
          </cell>
          <cell r="G258">
            <v>722058</v>
          </cell>
        </row>
        <row r="259">
          <cell r="A259">
            <v>6040951</v>
          </cell>
          <cell r="G259">
            <v>722059</v>
          </cell>
        </row>
        <row r="260">
          <cell r="A260">
            <v>2500762</v>
          </cell>
          <cell r="G260">
            <v>154056</v>
          </cell>
        </row>
        <row r="261">
          <cell r="A261">
            <v>2521638</v>
          </cell>
          <cell r="G261">
            <v>174778</v>
          </cell>
        </row>
        <row r="262">
          <cell r="A262">
            <v>2763913</v>
          </cell>
          <cell r="G262">
            <v>532999</v>
          </cell>
        </row>
        <row r="263">
          <cell r="A263">
            <v>3042972</v>
          </cell>
          <cell r="G263" t="str">
            <v>CATA 02858</v>
          </cell>
        </row>
        <row r="264">
          <cell r="A264">
            <v>3043848</v>
          </cell>
          <cell r="G264" t="str">
            <v>CATA 01252</v>
          </cell>
        </row>
        <row r="265">
          <cell r="A265">
            <v>3044356</v>
          </cell>
          <cell r="G265" t="str">
            <v>CATA 00416</v>
          </cell>
        </row>
        <row r="266">
          <cell r="A266">
            <v>3042973</v>
          </cell>
          <cell r="G266" t="str">
            <v>CATA 02859</v>
          </cell>
        </row>
        <row r="267">
          <cell r="A267">
            <v>3042671</v>
          </cell>
          <cell r="G267" t="str">
            <v>CATA 01118</v>
          </cell>
        </row>
        <row r="268">
          <cell r="A268">
            <v>4078612</v>
          </cell>
          <cell r="G268" t="str">
            <v>CDA-003828</v>
          </cell>
        </row>
        <row r="269">
          <cell r="A269">
            <v>4095380</v>
          </cell>
          <cell r="G269" t="str">
            <v>CDA-003833</v>
          </cell>
        </row>
        <row r="270">
          <cell r="A270">
            <v>4072307</v>
          </cell>
          <cell r="G270" t="str">
            <v>CDA-003827</v>
          </cell>
        </row>
        <row r="271">
          <cell r="A271">
            <v>4095386</v>
          </cell>
        </row>
        <row r="272">
          <cell r="A272">
            <v>4095385</v>
          </cell>
        </row>
        <row r="273">
          <cell r="A273">
            <v>4095375</v>
          </cell>
          <cell r="G273" t="str">
            <v>CDA-0012316</v>
          </cell>
        </row>
        <row r="274">
          <cell r="A274">
            <v>4095381</v>
          </cell>
          <cell r="G274" t="str">
            <v>CDA-0043178</v>
          </cell>
        </row>
        <row r="275">
          <cell r="A275">
            <v>4095382</v>
          </cell>
          <cell r="G275" t="str">
            <v>CDA-0043944</v>
          </cell>
        </row>
        <row r="276">
          <cell r="A276">
            <v>4068227</v>
          </cell>
          <cell r="G276" t="str">
            <v>CDA-0015456</v>
          </cell>
        </row>
        <row r="277">
          <cell r="A277">
            <v>4068228</v>
          </cell>
          <cell r="G277" t="str">
            <v>CDA-0015457</v>
          </cell>
        </row>
        <row r="278">
          <cell r="A278">
            <v>4095376</v>
          </cell>
          <cell r="G278" t="str">
            <v>CDA-0018774</v>
          </cell>
        </row>
        <row r="279">
          <cell r="A279">
            <v>4084876</v>
          </cell>
          <cell r="G279" t="str">
            <v>CDA-0043773</v>
          </cell>
        </row>
        <row r="280">
          <cell r="A280">
            <v>4084012</v>
          </cell>
          <cell r="G280" t="str">
            <v>CDA-0025632</v>
          </cell>
        </row>
        <row r="281">
          <cell r="A281">
            <v>4095374</v>
          </cell>
          <cell r="G281" t="str">
            <v>CDA-0008773</v>
          </cell>
        </row>
        <row r="282">
          <cell r="A282">
            <v>4076029</v>
          </cell>
          <cell r="G282" t="str">
            <v>CDA-0007749</v>
          </cell>
        </row>
        <row r="283">
          <cell r="A283">
            <v>4095379</v>
          </cell>
          <cell r="G283" t="str">
            <v>CDA-0034530</v>
          </cell>
        </row>
        <row r="284">
          <cell r="A284">
            <v>4095383</v>
          </cell>
          <cell r="G284" t="str">
            <v>CDA-0049158</v>
          </cell>
        </row>
        <row r="285">
          <cell r="A285">
            <v>4095384</v>
          </cell>
          <cell r="G285" t="str">
            <v>CDA-0049159</v>
          </cell>
        </row>
        <row r="286">
          <cell r="A286">
            <v>4074850</v>
          </cell>
          <cell r="G286" t="str">
            <v>CDA-0047964</v>
          </cell>
        </row>
        <row r="287">
          <cell r="A287">
            <v>4074851</v>
          </cell>
          <cell r="G287" t="str">
            <v>CDA-0047965</v>
          </cell>
        </row>
        <row r="288">
          <cell r="A288">
            <v>4074852</v>
          </cell>
          <cell r="G288" t="str">
            <v>CDA-0047966</v>
          </cell>
        </row>
        <row r="289">
          <cell r="A289">
            <v>4075140</v>
          </cell>
        </row>
        <row r="290">
          <cell r="A290">
            <v>4085988</v>
          </cell>
        </row>
        <row r="291">
          <cell r="A291">
            <v>4095395</v>
          </cell>
          <cell r="G291" t="str">
            <v>CDA-0020839</v>
          </cell>
        </row>
        <row r="292">
          <cell r="A292">
            <v>4095407</v>
          </cell>
          <cell r="G292" t="str">
            <v>CDA-003831</v>
          </cell>
        </row>
        <row r="293">
          <cell r="A293">
            <v>4095417</v>
          </cell>
        </row>
        <row r="294">
          <cell r="A294">
            <v>4095405</v>
          </cell>
          <cell r="G294" t="str">
            <v>CDA-003829</v>
          </cell>
        </row>
        <row r="295">
          <cell r="A295">
            <v>4095404</v>
          </cell>
          <cell r="G295" t="str">
            <v>CDA-0037168</v>
          </cell>
        </row>
        <row r="296">
          <cell r="A296">
            <v>4095418</v>
          </cell>
        </row>
        <row r="297">
          <cell r="A297">
            <v>4095400</v>
          </cell>
          <cell r="G297" t="str">
            <v>CDA-0032866</v>
          </cell>
        </row>
        <row r="298">
          <cell r="A298">
            <v>4095388</v>
          </cell>
          <cell r="G298" t="str">
            <v>CDA-0012718</v>
          </cell>
        </row>
        <row r="299">
          <cell r="A299">
            <v>4083924</v>
          </cell>
          <cell r="G299" t="str">
            <v>CDA-003834</v>
          </cell>
        </row>
        <row r="300">
          <cell r="A300">
            <v>4095389</v>
          </cell>
          <cell r="G300" t="str">
            <v>CDA-0016146</v>
          </cell>
        </row>
        <row r="301">
          <cell r="A301">
            <v>4095390</v>
          </cell>
          <cell r="G301" t="str">
            <v>CDA-0016210</v>
          </cell>
        </row>
        <row r="302">
          <cell r="A302">
            <v>4095391</v>
          </cell>
          <cell r="G302" t="str">
            <v>CDA-0016211</v>
          </cell>
        </row>
        <row r="303">
          <cell r="A303">
            <v>4095392</v>
          </cell>
          <cell r="G303" t="str">
            <v>CDA-0018779</v>
          </cell>
        </row>
        <row r="304">
          <cell r="A304">
            <v>4095416</v>
          </cell>
        </row>
        <row r="305">
          <cell r="A305">
            <v>4095394</v>
          </cell>
          <cell r="G305" t="str">
            <v>CDA-0019865</v>
          </cell>
        </row>
        <row r="306">
          <cell r="A306">
            <v>4095393</v>
          </cell>
          <cell r="G306" t="str">
            <v>CDA-0019431</v>
          </cell>
        </row>
        <row r="307">
          <cell r="A307">
            <v>4095406</v>
          </cell>
          <cell r="G307" t="str">
            <v>CDA-0003830</v>
          </cell>
        </row>
        <row r="308">
          <cell r="A308">
            <v>4095408</v>
          </cell>
          <cell r="G308" t="str">
            <v>CDA-0003832</v>
          </cell>
        </row>
        <row r="309">
          <cell r="A309">
            <v>4095387</v>
          </cell>
          <cell r="G309" t="str">
            <v>CDA-0008344</v>
          </cell>
        </row>
        <row r="310">
          <cell r="A310">
            <v>4095402</v>
          </cell>
          <cell r="G310" t="str">
            <v>CDA-0035804</v>
          </cell>
        </row>
        <row r="311">
          <cell r="A311">
            <v>4084283</v>
          </cell>
          <cell r="G311" t="str">
            <v>CDA-0025212</v>
          </cell>
        </row>
        <row r="312">
          <cell r="A312">
            <v>4095396</v>
          </cell>
          <cell r="G312" t="str">
            <v>CDA-0023557</v>
          </cell>
        </row>
        <row r="313">
          <cell r="A313">
            <v>4095399</v>
          </cell>
          <cell r="G313" t="str">
            <v>CDA-0030837</v>
          </cell>
        </row>
        <row r="314">
          <cell r="A314">
            <v>4095401</v>
          </cell>
          <cell r="G314" t="str">
            <v>CDA-0034482</v>
          </cell>
        </row>
        <row r="315">
          <cell r="A315">
            <v>4095410</v>
          </cell>
          <cell r="G315" t="str">
            <v>CDA-0043867</v>
          </cell>
        </row>
        <row r="316">
          <cell r="A316">
            <v>4095411</v>
          </cell>
          <cell r="G316" t="str">
            <v>CDA-0043873</v>
          </cell>
        </row>
        <row r="317">
          <cell r="A317">
            <v>4095398</v>
          </cell>
          <cell r="G317" t="str">
            <v>CDA-0030836</v>
          </cell>
        </row>
        <row r="318">
          <cell r="A318">
            <v>4095403</v>
          </cell>
          <cell r="G318" t="str">
            <v>CDA-0035919</v>
          </cell>
        </row>
        <row r="319">
          <cell r="A319">
            <v>4095409</v>
          </cell>
          <cell r="G319" t="str">
            <v>CDA-0043702</v>
          </cell>
        </row>
        <row r="320">
          <cell r="A320">
            <v>4095412</v>
          </cell>
          <cell r="G320" t="str">
            <v>CDA-0045392</v>
          </cell>
        </row>
        <row r="321">
          <cell r="A321">
            <v>4095413</v>
          </cell>
          <cell r="G321" t="str">
            <v>CDA-0049115</v>
          </cell>
        </row>
        <row r="322">
          <cell r="A322">
            <v>4095414</v>
          </cell>
          <cell r="G322" t="str">
            <v>CDA-0049892</v>
          </cell>
        </row>
        <row r="323">
          <cell r="A323">
            <v>4095415</v>
          </cell>
          <cell r="G323" t="str">
            <v>CDA-0049955</v>
          </cell>
        </row>
        <row r="324">
          <cell r="A324">
            <v>4085847</v>
          </cell>
        </row>
        <row r="325">
          <cell r="A325">
            <v>2061482</v>
          </cell>
          <cell r="G325" t="str">
            <v>CHSC000533</v>
          </cell>
        </row>
        <row r="326">
          <cell r="A326">
            <v>2061660</v>
          </cell>
          <cell r="G326" t="str">
            <v>CHSC000536</v>
          </cell>
        </row>
        <row r="327">
          <cell r="A327">
            <v>2061760</v>
          </cell>
          <cell r="G327" t="str">
            <v>CHSC000537</v>
          </cell>
        </row>
        <row r="328">
          <cell r="A328">
            <v>2061832</v>
          </cell>
          <cell r="G328" t="str">
            <v>CHSC000538</v>
          </cell>
        </row>
        <row r="329">
          <cell r="A329">
            <v>2030475</v>
          </cell>
          <cell r="G329" t="str">
            <v>CHSC010657</v>
          </cell>
        </row>
        <row r="330">
          <cell r="A330">
            <v>2051496</v>
          </cell>
          <cell r="G330" t="str">
            <v>CHSC004031</v>
          </cell>
        </row>
        <row r="331">
          <cell r="A331">
            <v>5872878</v>
          </cell>
          <cell r="G331" t="str">
            <v>CHSC126717</v>
          </cell>
        </row>
        <row r="332">
          <cell r="A332">
            <v>5872887</v>
          </cell>
          <cell r="G332" t="str">
            <v>CHSC126713</v>
          </cell>
        </row>
        <row r="333">
          <cell r="A333">
            <v>2039506</v>
          </cell>
          <cell r="G333" t="str">
            <v>CHSC026459</v>
          </cell>
        </row>
        <row r="334">
          <cell r="A334">
            <v>5737995</v>
          </cell>
          <cell r="G334" t="str">
            <v>CHSC125469</v>
          </cell>
        </row>
        <row r="335">
          <cell r="A335">
            <v>2034914</v>
          </cell>
          <cell r="G335" t="str">
            <v>CHSC021252</v>
          </cell>
        </row>
        <row r="336">
          <cell r="A336">
            <v>2056948</v>
          </cell>
          <cell r="G336" t="str">
            <v>CHSC046484</v>
          </cell>
        </row>
        <row r="337">
          <cell r="A337">
            <v>2040704</v>
          </cell>
          <cell r="G337" t="str">
            <v>CHSC027838</v>
          </cell>
        </row>
        <row r="338">
          <cell r="A338">
            <v>2044164</v>
          </cell>
          <cell r="G338" t="str">
            <v>CHSC031957</v>
          </cell>
        </row>
        <row r="339">
          <cell r="A339">
            <v>2050542</v>
          </cell>
          <cell r="G339" t="str">
            <v>CHSC039208</v>
          </cell>
        </row>
        <row r="340">
          <cell r="A340">
            <v>2057748</v>
          </cell>
          <cell r="G340" t="str">
            <v>CHSC047386</v>
          </cell>
        </row>
        <row r="341">
          <cell r="A341">
            <v>2049538</v>
          </cell>
          <cell r="G341" t="str">
            <v>CHSC038035</v>
          </cell>
        </row>
        <row r="342">
          <cell r="A342">
            <v>2049536</v>
          </cell>
          <cell r="G342" t="str">
            <v>CHSC038033</v>
          </cell>
        </row>
        <row r="343">
          <cell r="A343">
            <v>2046467</v>
          </cell>
          <cell r="G343" t="str">
            <v>CHSC034565</v>
          </cell>
        </row>
        <row r="344">
          <cell r="A344">
            <v>2049904</v>
          </cell>
          <cell r="G344" t="str">
            <v>CHSC038424</v>
          </cell>
        </row>
        <row r="345">
          <cell r="A345">
            <v>2049533</v>
          </cell>
          <cell r="G345" t="str">
            <v>CHSC038030</v>
          </cell>
        </row>
        <row r="346">
          <cell r="A346">
            <v>2049534</v>
          </cell>
          <cell r="G346" t="str">
            <v>CHSC038031</v>
          </cell>
        </row>
        <row r="347">
          <cell r="A347">
            <v>2046466</v>
          </cell>
          <cell r="G347" t="str">
            <v>CHSC034564</v>
          </cell>
        </row>
        <row r="348">
          <cell r="A348">
            <v>2051858</v>
          </cell>
          <cell r="G348" t="str">
            <v>CHSC040702</v>
          </cell>
        </row>
        <row r="349">
          <cell r="A349">
            <v>2049551</v>
          </cell>
          <cell r="G349" t="str">
            <v>CHSC038048</v>
          </cell>
        </row>
        <row r="350">
          <cell r="A350">
            <v>2057404</v>
          </cell>
          <cell r="G350" t="str">
            <v>CHSC047040</v>
          </cell>
        </row>
        <row r="351">
          <cell r="A351">
            <v>2062093</v>
          </cell>
          <cell r="G351" t="str">
            <v>CHSC054389</v>
          </cell>
        </row>
        <row r="352">
          <cell r="A352">
            <v>2070005</v>
          </cell>
          <cell r="G352" t="str">
            <v>CHSC064605</v>
          </cell>
        </row>
        <row r="353">
          <cell r="A353">
            <v>2071112</v>
          </cell>
          <cell r="G353" t="str">
            <v>CHSC065917</v>
          </cell>
        </row>
        <row r="354">
          <cell r="A354">
            <v>2071627</v>
          </cell>
          <cell r="G354" t="str">
            <v>CHSC066479</v>
          </cell>
        </row>
        <row r="355">
          <cell r="A355">
            <v>2120835</v>
          </cell>
          <cell r="G355" t="str">
            <v>CHSC090955</v>
          </cell>
        </row>
        <row r="356">
          <cell r="A356">
            <v>2124078</v>
          </cell>
          <cell r="G356" t="str">
            <v>CHSC096467</v>
          </cell>
        </row>
        <row r="357">
          <cell r="A357">
            <v>2125798</v>
          </cell>
          <cell r="G357" t="str">
            <v>CHSC099463</v>
          </cell>
        </row>
        <row r="358">
          <cell r="A358">
            <v>2146635</v>
          </cell>
          <cell r="G358" t="str">
            <v>CHSC098874</v>
          </cell>
        </row>
        <row r="359">
          <cell r="A359">
            <v>2132998</v>
          </cell>
          <cell r="G359" t="str">
            <v>CHSC111394</v>
          </cell>
        </row>
        <row r="360">
          <cell r="A360">
            <v>2133518</v>
          </cell>
          <cell r="G360" t="str">
            <v>CHSC112304</v>
          </cell>
        </row>
        <row r="361">
          <cell r="A361">
            <v>3828689</v>
          </cell>
          <cell r="G361" t="str">
            <v>CHSC122361</v>
          </cell>
        </row>
        <row r="362">
          <cell r="A362">
            <v>2061578</v>
          </cell>
          <cell r="G362" t="str">
            <v>CHSC000535</v>
          </cell>
        </row>
        <row r="363">
          <cell r="A363">
            <v>2049555</v>
          </cell>
          <cell r="G363" t="str">
            <v>CHSC038052</v>
          </cell>
        </row>
        <row r="364">
          <cell r="A364">
            <v>2079339</v>
          </cell>
          <cell r="G364" t="str">
            <v>CHSC075075</v>
          </cell>
        </row>
        <row r="365">
          <cell r="A365">
            <v>2107639</v>
          </cell>
          <cell r="G365" t="str">
            <v>CHSC091408</v>
          </cell>
        </row>
        <row r="366">
          <cell r="A366">
            <v>2137472</v>
          </cell>
          <cell r="G366" t="str">
            <v>CHSC119251</v>
          </cell>
        </row>
        <row r="367">
          <cell r="A367">
            <v>2085275</v>
          </cell>
          <cell r="G367" t="str">
            <v>CHSC081237</v>
          </cell>
        </row>
        <row r="368">
          <cell r="A368">
            <v>2085539</v>
          </cell>
          <cell r="G368" t="str">
            <v>CHSC081475</v>
          </cell>
        </row>
        <row r="369">
          <cell r="A369">
            <v>2134739</v>
          </cell>
          <cell r="G369" t="str">
            <v>CHSC114899</v>
          </cell>
        </row>
        <row r="370">
          <cell r="A370">
            <v>3039061</v>
          </cell>
          <cell r="G370" t="str">
            <v>CLARK-A1528-968</v>
          </cell>
        </row>
        <row r="371">
          <cell r="A371">
            <v>3035050</v>
          </cell>
          <cell r="G371" t="str">
            <v>CLARK-A1528-362</v>
          </cell>
        </row>
        <row r="372">
          <cell r="A372">
            <v>3036199</v>
          </cell>
          <cell r="G372" t="str">
            <v>CLARK-A1528-5387</v>
          </cell>
        </row>
        <row r="373">
          <cell r="A373">
            <v>3035049</v>
          </cell>
          <cell r="G373" t="str">
            <v>CLARK-A1528-363</v>
          </cell>
        </row>
        <row r="374">
          <cell r="A374">
            <v>3035051</v>
          </cell>
          <cell r="G374" t="str">
            <v>CLARK-A1528-361</v>
          </cell>
        </row>
        <row r="375">
          <cell r="A375">
            <v>3035632</v>
          </cell>
          <cell r="G375" t="str">
            <v>CLARK-A1528-1114</v>
          </cell>
        </row>
        <row r="376">
          <cell r="A376">
            <v>3801164</v>
          </cell>
          <cell r="G376" t="str">
            <v>CSLA000817</v>
          </cell>
        </row>
        <row r="377">
          <cell r="A377">
            <v>3801181</v>
          </cell>
          <cell r="G377" t="str">
            <v>CSLA000825</v>
          </cell>
        </row>
        <row r="378">
          <cell r="A378">
            <v>3801194</v>
          </cell>
          <cell r="G378" t="str">
            <v>CSLA000831</v>
          </cell>
        </row>
        <row r="379">
          <cell r="A379">
            <v>3801191</v>
          </cell>
          <cell r="G379" t="str">
            <v>CSLA000830</v>
          </cell>
        </row>
        <row r="380">
          <cell r="A380">
            <v>3801169</v>
          </cell>
          <cell r="G380" t="str">
            <v>CSLA000820</v>
          </cell>
        </row>
        <row r="381">
          <cell r="A381">
            <v>3801178</v>
          </cell>
          <cell r="G381" t="str">
            <v>CSLA000823</v>
          </cell>
        </row>
        <row r="382">
          <cell r="A382">
            <v>3801195</v>
          </cell>
          <cell r="G382" t="str">
            <v>CSLA000832</v>
          </cell>
        </row>
        <row r="383">
          <cell r="A383">
            <v>3801196</v>
          </cell>
          <cell r="G383" t="str">
            <v>CSLA000833</v>
          </cell>
        </row>
        <row r="384">
          <cell r="A384">
            <v>3801199</v>
          </cell>
          <cell r="G384" t="str">
            <v>CSLA000834</v>
          </cell>
        </row>
        <row r="385">
          <cell r="A385">
            <v>3801184</v>
          </cell>
          <cell r="G385" t="str">
            <v>CSLA000827</v>
          </cell>
        </row>
        <row r="386">
          <cell r="A386">
            <v>3801172</v>
          </cell>
          <cell r="G386" t="str">
            <v>CSLA000821</v>
          </cell>
        </row>
        <row r="387">
          <cell r="A387">
            <v>3801183</v>
          </cell>
          <cell r="G387" t="str">
            <v>CSLA000826</v>
          </cell>
        </row>
        <row r="388">
          <cell r="A388">
            <v>3801173</v>
          </cell>
          <cell r="G388" t="str">
            <v>CSLA000822</v>
          </cell>
        </row>
        <row r="389">
          <cell r="A389">
            <v>3801168</v>
          </cell>
          <cell r="G389" t="str">
            <v>CSLA000819</v>
          </cell>
        </row>
        <row r="390">
          <cell r="A390">
            <v>1294392</v>
          </cell>
          <cell r="G390" t="str">
            <v>csusb92108</v>
          </cell>
        </row>
        <row r="391">
          <cell r="A391">
            <v>1294396</v>
          </cell>
          <cell r="G391" t="str">
            <v>CSUSB92103</v>
          </cell>
        </row>
        <row r="392">
          <cell r="A392">
            <v>1294395</v>
          </cell>
          <cell r="G392" t="str">
            <v>CSUSB92102</v>
          </cell>
        </row>
        <row r="393">
          <cell r="A393">
            <v>1294393</v>
          </cell>
          <cell r="G393" t="str">
            <v>csusb92106</v>
          </cell>
        </row>
        <row r="394">
          <cell r="A394">
            <v>1294397</v>
          </cell>
          <cell r="G394" t="str">
            <v>CSUSB92104</v>
          </cell>
        </row>
        <row r="395">
          <cell r="A395">
            <v>1294389</v>
          </cell>
          <cell r="G395" t="str">
            <v>csusb92107</v>
          </cell>
        </row>
        <row r="396">
          <cell r="A396">
            <v>1294394</v>
          </cell>
          <cell r="G396" t="str">
            <v>csusb92105</v>
          </cell>
        </row>
        <row r="397">
          <cell r="A397">
            <v>1312145</v>
          </cell>
          <cell r="G397" t="str">
            <v>DAV300682</v>
          </cell>
        </row>
        <row r="398">
          <cell r="A398">
            <v>1367984</v>
          </cell>
          <cell r="G398" t="str">
            <v>DAV300681</v>
          </cell>
        </row>
        <row r="399">
          <cell r="A399">
            <v>1367988</v>
          </cell>
          <cell r="G399" t="str">
            <v>DAV300683</v>
          </cell>
        </row>
        <row r="400">
          <cell r="A400">
            <v>1367980</v>
          </cell>
          <cell r="G400" t="str">
            <v>DAV310436</v>
          </cell>
        </row>
        <row r="401">
          <cell r="A401">
            <v>1367986</v>
          </cell>
          <cell r="G401" t="str">
            <v>DAV300675</v>
          </cell>
        </row>
        <row r="402">
          <cell r="A402">
            <v>1367982</v>
          </cell>
          <cell r="G402" t="str">
            <v>DAV300680</v>
          </cell>
        </row>
        <row r="403">
          <cell r="A403">
            <v>1367981</v>
          </cell>
          <cell r="G403" t="str">
            <v>DAV300677</v>
          </cell>
        </row>
        <row r="404">
          <cell r="A404">
            <v>1399932</v>
          </cell>
          <cell r="G404" t="str">
            <v>DAV310434</v>
          </cell>
        </row>
        <row r="405">
          <cell r="A405">
            <v>1367983</v>
          </cell>
          <cell r="G405" t="str">
            <v>DAV310435</v>
          </cell>
        </row>
        <row r="406">
          <cell r="A406">
            <v>1320906</v>
          </cell>
          <cell r="G406" t="str">
            <v>DAV310438</v>
          </cell>
        </row>
        <row r="407">
          <cell r="A407">
            <v>1367989</v>
          </cell>
          <cell r="G407" t="str">
            <v>DAV310445</v>
          </cell>
        </row>
        <row r="408">
          <cell r="A408">
            <v>1333957</v>
          </cell>
          <cell r="G408" t="str">
            <v>DAV300674</v>
          </cell>
        </row>
        <row r="409">
          <cell r="A409">
            <v>1367987</v>
          </cell>
        </row>
        <row r="410">
          <cell r="A410">
            <v>1339126</v>
          </cell>
          <cell r="G410" t="str">
            <v>DAV310439</v>
          </cell>
        </row>
        <row r="411">
          <cell r="A411">
            <v>3776588</v>
          </cell>
          <cell r="G411" t="str">
            <v>DAV328011</v>
          </cell>
        </row>
        <row r="412">
          <cell r="A412">
            <v>1367985</v>
          </cell>
          <cell r="G412" t="str">
            <v>DAV300676</v>
          </cell>
        </row>
        <row r="413">
          <cell r="A413">
            <v>1300530</v>
          </cell>
          <cell r="G413" t="str">
            <v>DAV310440</v>
          </cell>
        </row>
        <row r="414">
          <cell r="A414">
            <v>1336457</v>
          </cell>
          <cell r="G414" t="str">
            <v>DAV300678</v>
          </cell>
        </row>
        <row r="415">
          <cell r="A415">
            <v>1336458</v>
          </cell>
          <cell r="G415" t="str">
            <v>DAV310437</v>
          </cell>
        </row>
        <row r="416">
          <cell r="A416">
            <v>1372819</v>
          </cell>
          <cell r="G416" t="str">
            <v>DAV300679</v>
          </cell>
        </row>
        <row r="417">
          <cell r="A417">
            <v>1399259</v>
          </cell>
          <cell r="G417" t="str">
            <v>DAV310441</v>
          </cell>
        </row>
        <row r="418">
          <cell r="A418">
            <v>1399260</v>
          </cell>
          <cell r="G418" t="str">
            <v>DAV310442</v>
          </cell>
        </row>
        <row r="419">
          <cell r="A419">
            <v>1399261</v>
          </cell>
          <cell r="G419" t="str">
            <v>DAV310443</v>
          </cell>
        </row>
        <row r="420">
          <cell r="A420">
            <v>1399262</v>
          </cell>
          <cell r="G420" t="str">
            <v>DAV310444</v>
          </cell>
        </row>
        <row r="421">
          <cell r="A421">
            <v>6017874</v>
          </cell>
        </row>
        <row r="422">
          <cell r="A422">
            <v>6003808</v>
          </cell>
          <cell r="G422" t="str">
            <v>DAV244422</v>
          </cell>
        </row>
        <row r="423">
          <cell r="A423">
            <v>6053255</v>
          </cell>
        </row>
        <row r="424">
          <cell r="A424">
            <v>1311269</v>
          </cell>
          <cell r="G424" t="str">
            <v>DAV310392</v>
          </cell>
        </row>
        <row r="425">
          <cell r="A425">
            <v>1312007</v>
          </cell>
          <cell r="G425" t="str">
            <v>DAV310391</v>
          </cell>
        </row>
        <row r="426">
          <cell r="A426">
            <v>1368006</v>
          </cell>
          <cell r="G426" t="str">
            <v>DAV310423</v>
          </cell>
        </row>
        <row r="427">
          <cell r="A427">
            <v>1368028</v>
          </cell>
          <cell r="G427" t="str">
            <v>DAV310408</v>
          </cell>
        </row>
        <row r="428">
          <cell r="A428">
            <v>1368029</v>
          </cell>
          <cell r="G428" t="str">
            <v>DAV310407</v>
          </cell>
        </row>
        <row r="429">
          <cell r="A429">
            <v>1367991</v>
          </cell>
          <cell r="G429" t="str">
            <v>DAV310431</v>
          </cell>
        </row>
        <row r="430">
          <cell r="A430">
            <v>1367992</v>
          </cell>
          <cell r="G430" t="str">
            <v>DAV310430</v>
          </cell>
        </row>
        <row r="431">
          <cell r="A431">
            <v>1368053</v>
          </cell>
          <cell r="G431" t="str">
            <v>DAV310402</v>
          </cell>
        </row>
        <row r="432">
          <cell r="A432">
            <v>1368002</v>
          </cell>
          <cell r="G432" t="str">
            <v>DAV310416</v>
          </cell>
        </row>
        <row r="433">
          <cell r="A433">
            <v>1368057</v>
          </cell>
          <cell r="G433" t="str">
            <v>DAV310399</v>
          </cell>
        </row>
        <row r="434">
          <cell r="A434">
            <v>2197161</v>
          </cell>
          <cell r="G434" t="str">
            <v>DAV310433</v>
          </cell>
        </row>
        <row r="435">
          <cell r="A435">
            <v>1368001</v>
          </cell>
          <cell r="G435" t="str">
            <v>DAV310417</v>
          </cell>
        </row>
        <row r="436">
          <cell r="A436">
            <v>1368035</v>
          </cell>
          <cell r="G436" t="str">
            <v>DAV310410</v>
          </cell>
        </row>
        <row r="437">
          <cell r="A437">
            <v>1368058</v>
          </cell>
          <cell r="G437" t="str">
            <v>DAV310398</v>
          </cell>
        </row>
        <row r="438">
          <cell r="A438">
            <v>1368036</v>
          </cell>
          <cell r="G438" t="str">
            <v>DAV310432</v>
          </cell>
        </row>
        <row r="439">
          <cell r="A439">
            <v>1368038</v>
          </cell>
        </row>
        <row r="440">
          <cell r="A440">
            <v>1368040</v>
          </cell>
          <cell r="G440" t="str">
            <v>DAV310412</v>
          </cell>
        </row>
        <row r="441">
          <cell r="A441">
            <v>1368004</v>
          </cell>
          <cell r="G441" t="str">
            <v>DAV310414</v>
          </cell>
        </row>
        <row r="442">
          <cell r="A442">
            <v>1368052</v>
          </cell>
          <cell r="G442" t="str">
            <v>DAV310403</v>
          </cell>
        </row>
        <row r="443">
          <cell r="A443">
            <v>1368003</v>
          </cell>
          <cell r="G443" t="str">
            <v>DAV310415</v>
          </cell>
        </row>
        <row r="444">
          <cell r="A444">
            <v>1368034</v>
          </cell>
          <cell r="G444" t="str">
            <v>DAV310404</v>
          </cell>
        </row>
        <row r="445">
          <cell r="A445">
            <v>1368043</v>
          </cell>
          <cell r="G445" t="str">
            <v>DAV310390</v>
          </cell>
        </row>
        <row r="446">
          <cell r="A446">
            <v>1367996</v>
          </cell>
          <cell r="G446" t="str">
            <v>AHUC100065</v>
          </cell>
        </row>
        <row r="447">
          <cell r="A447">
            <v>1310159</v>
          </cell>
          <cell r="G447" t="str">
            <v>AHUC100067</v>
          </cell>
        </row>
        <row r="448">
          <cell r="A448">
            <v>1368045</v>
          </cell>
          <cell r="G448" t="str">
            <v>DAV310389</v>
          </cell>
        </row>
        <row r="449">
          <cell r="A449">
            <v>1368032</v>
          </cell>
          <cell r="G449" t="str">
            <v>DAV310405</v>
          </cell>
        </row>
        <row r="450">
          <cell r="A450">
            <v>1368055</v>
          </cell>
          <cell r="G450" t="str">
            <v>DAV310400</v>
          </cell>
        </row>
        <row r="451">
          <cell r="A451">
            <v>1368054</v>
          </cell>
          <cell r="G451" t="str">
            <v>DAV310401</v>
          </cell>
        </row>
        <row r="452">
          <cell r="A452">
            <v>1368025</v>
          </cell>
          <cell r="G452" t="str">
            <v>DAV310409</v>
          </cell>
        </row>
        <row r="453">
          <cell r="A453">
            <v>1367997</v>
          </cell>
          <cell r="G453" t="str">
            <v>AHUC100068</v>
          </cell>
        </row>
        <row r="454">
          <cell r="A454">
            <v>1367998</v>
          </cell>
          <cell r="G454" t="str">
            <v>DAV310418</v>
          </cell>
        </row>
        <row r="455">
          <cell r="A455">
            <v>1368046</v>
          </cell>
          <cell r="G455" t="str">
            <v>DAV310388</v>
          </cell>
        </row>
        <row r="456">
          <cell r="A456">
            <v>1310405</v>
          </cell>
          <cell r="G456" t="str">
            <v>AHUC100080</v>
          </cell>
        </row>
        <row r="457">
          <cell r="A457">
            <v>1368030</v>
          </cell>
          <cell r="G457" t="str">
            <v>DAV310406</v>
          </cell>
        </row>
        <row r="458">
          <cell r="A458">
            <v>1368000</v>
          </cell>
          <cell r="G458" t="str">
            <v>DAV310421</v>
          </cell>
        </row>
        <row r="459">
          <cell r="A459">
            <v>1367999</v>
          </cell>
          <cell r="G459" t="str">
            <v>DAV310420</v>
          </cell>
        </row>
        <row r="460">
          <cell r="A460">
            <v>1305691</v>
          </cell>
          <cell r="G460" t="str">
            <v>AHUC101842</v>
          </cell>
        </row>
        <row r="461">
          <cell r="A461">
            <v>1368005</v>
          </cell>
          <cell r="G461" t="str">
            <v>DAV310413</v>
          </cell>
        </row>
        <row r="462">
          <cell r="A462">
            <v>1367995</v>
          </cell>
          <cell r="G462" t="str">
            <v>AHUC100066</v>
          </cell>
        </row>
        <row r="463">
          <cell r="A463">
            <v>1368051</v>
          </cell>
          <cell r="G463" t="str">
            <v>DAV310395</v>
          </cell>
        </row>
        <row r="464">
          <cell r="A464">
            <v>1368041</v>
          </cell>
          <cell r="G464" t="str">
            <v>DAV310394</v>
          </cell>
        </row>
        <row r="465">
          <cell r="A465">
            <v>1368039</v>
          </cell>
          <cell r="G465" t="str">
            <v>DAV310411</v>
          </cell>
        </row>
        <row r="466">
          <cell r="A466">
            <v>1299035</v>
          </cell>
          <cell r="G466" t="str">
            <v>DAV310422</v>
          </cell>
        </row>
        <row r="467">
          <cell r="A467">
            <v>1367993</v>
          </cell>
          <cell r="G467" t="str">
            <v>DAV310429</v>
          </cell>
        </row>
        <row r="468">
          <cell r="A468">
            <v>1368011</v>
          </cell>
          <cell r="G468" t="str">
            <v>DAV310427</v>
          </cell>
        </row>
        <row r="469">
          <cell r="A469">
            <v>1320905</v>
          </cell>
          <cell r="G469" t="str">
            <v>DAV315353</v>
          </cell>
        </row>
        <row r="470">
          <cell r="A470">
            <v>1367994</v>
          </cell>
          <cell r="G470" t="str">
            <v>DAV310428</v>
          </cell>
        </row>
        <row r="471">
          <cell r="A471">
            <v>1368047</v>
          </cell>
          <cell r="G471" t="str">
            <v>DAV310397</v>
          </cell>
        </row>
        <row r="472">
          <cell r="A472">
            <v>1368049</v>
          </cell>
          <cell r="G472" t="str">
            <v>DAV310396</v>
          </cell>
        </row>
        <row r="473">
          <cell r="A473">
            <v>3776574</v>
          </cell>
          <cell r="G473" t="str">
            <v>DAV328009</v>
          </cell>
        </row>
        <row r="474">
          <cell r="A474">
            <v>3776580</v>
          </cell>
          <cell r="G474" t="str">
            <v>DAV328010</v>
          </cell>
        </row>
        <row r="475">
          <cell r="A475">
            <v>1327836</v>
          </cell>
          <cell r="G475" t="str">
            <v>DAV315352</v>
          </cell>
        </row>
        <row r="476">
          <cell r="A476">
            <v>1368008</v>
          </cell>
          <cell r="G476" t="str">
            <v>DAV310424</v>
          </cell>
        </row>
        <row r="477">
          <cell r="A477">
            <v>1368007</v>
          </cell>
          <cell r="G477" t="str">
            <v>DAV310419</v>
          </cell>
        </row>
        <row r="478">
          <cell r="A478">
            <v>5776205</v>
          </cell>
          <cell r="G478" t="str">
            <v>DAV243575</v>
          </cell>
        </row>
        <row r="479">
          <cell r="A479">
            <v>1368009</v>
          </cell>
          <cell r="G479" t="str">
            <v>DAV310425</v>
          </cell>
        </row>
        <row r="480">
          <cell r="A480">
            <v>1368010</v>
          </cell>
          <cell r="G480" t="str">
            <v>DAV310426</v>
          </cell>
        </row>
        <row r="481">
          <cell r="A481">
            <v>1392578</v>
          </cell>
          <cell r="G481" t="str">
            <v>DAV310393</v>
          </cell>
        </row>
        <row r="482">
          <cell r="A482">
            <v>2963303</v>
          </cell>
          <cell r="G482" t="str">
            <v>DAV325632</v>
          </cell>
        </row>
        <row r="483">
          <cell r="A483">
            <v>6049125</v>
          </cell>
        </row>
        <row r="484">
          <cell r="A484">
            <v>3792158</v>
          </cell>
          <cell r="G484" t="str">
            <v>FSC0010443</v>
          </cell>
        </row>
        <row r="485">
          <cell r="A485">
            <v>3792171</v>
          </cell>
          <cell r="G485" t="str">
            <v>FSC0010456</v>
          </cell>
        </row>
        <row r="486">
          <cell r="A486">
            <v>3792179</v>
          </cell>
          <cell r="G486" t="str">
            <v>FSC0010464</v>
          </cell>
        </row>
        <row r="487">
          <cell r="A487">
            <v>3792159</v>
          </cell>
          <cell r="G487" t="str">
            <v>FSC0010444</v>
          </cell>
        </row>
        <row r="488">
          <cell r="A488">
            <v>3792160</v>
          </cell>
          <cell r="G488" t="str">
            <v>FSC0010445</v>
          </cell>
        </row>
        <row r="489">
          <cell r="A489">
            <v>3792168</v>
          </cell>
          <cell r="G489" t="str">
            <v>FSC0010453</v>
          </cell>
        </row>
        <row r="490">
          <cell r="A490">
            <v>3792176</v>
          </cell>
          <cell r="G490" t="str">
            <v>FSC0010461</v>
          </cell>
        </row>
        <row r="491">
          <cell r="A491">
            <v>3792167</v>
          </cell>
          <cell r="G491" t="str">
            <v>FSC0010452</v>
          </cell>
        </row>
        <row r="492">
          <cell r="A492">
            <v>3792178</v>
          </cell>
          <cell r="G492" t="str">
            <v>FSC0010463</v>
          </cell>
        </row>
        <row r="493">
          <cell r="A493">
            <v>3792165</v>
          </cell>
          <cell r="G493" t="str">
            <v>FSC0010450</v>
          </cell>
        </row>
        <row r="494">
          <cell r="A494">
            <v>3792161</v>
          </cell>
          <cell r="G494" t="str">
            <v>FSC0010446</v>
          </cell>
        </row>
        <row r="495">
          <cell r="A495">
            <v>3792169</v>
          </cell>
          <cell r="G495" t="str">
            <v>FSC0010454</v>
          </cell>
        </row>
        <row r="496">
          <cell r="A496">
            <v>3792174</v>
          </cell>
          <cell r="G496" t="str">
            <v>FSC0010459</v>
          </cell>
        </row>
        <row r="497">
          <cell r="A497">
            <v>3792166</v>
          </cell>
          <cell r="G497" t="str">
            <v>FSC0010451</v>
          </cell>
        </row>
        <row r="498">
          <cell r="A498">
            <v>3792175</v>
          </cell>
          <cell r="G498" t="str">
            <v>FSC0010460</v>
          </cell>
        </row>
        <row r="499">
          <cell r="A499">
            <v>3792177</v>
          </cell>
          <cell r="G499" t="str">
            <v>FSC0010462</v>
          </cell>
        </row>
        <row r="500">
          <cell r="A500">
            <v>3792173</v>
          </cell>
          <cell r="G500" t="str">
            <v>FSC0010458</v>
          </cell>
        </row>
        <row r="501">
          <cell r="A501">
            <v>3792163</v>
          </cell>
          <cell r="G501" t="str">
            <v>FSC0010448</v>
          </cell>
        </row>
        <row r="502">
          <cell r="A502">
            <v>3792172</v>
          </cell>
          <cell r="G502" t="str">
            <v>FSC0010457</v>
          </cell>
        </row>
        <row r="503">
          <cell r="A503">
            <v>3792164</v>
          </cell>
          <cell r="G503" t="str">
            <v>FSC0010449</v>
          </cell>
        </row>
        <row r="504">
          <cell r="A504">
            <v>3792162</v>
          </cell>
          <cell r="G504" t="str">
            <v>FSC0010447</v>
          </cell>
        </row>
        <row r="505">
          <cell r="A505">
            <v>3792170</v>
          </cell>
          <cell r="G505" t="str">
            <v>FSC0010455</v>
          </cell>
        </row>
        <row r="506">
          <cell r="A506">
            <v>3792157</v>
          </cell>
          <cell r="G506" t="str">
            <v>FSC0010442</v>
          </cell>
        </row>
        <row r="507">
          <cell r="A507">
            <v>3792156</v>
          </cell>
          <cell r="G507" t="str">
            <v>FSC0010441</v>
          </cell>
        </row>
        <row r="508">
          <cell r="A508">
            <v>3792196</v>
          </cell>
          <cell r="G508" t="str">
            <v>FSC0010481</v>
          </cell>
        </row>
        <row r="509">
          <cell r="A509">
            <v>3792180</v>
          </cell>
          <cell r="G509" t="str">
            <v>FSC0010465</v>
          </cell>
        </row>
        <row r="510">
          <cell r="A510">
            <v>3792181</v>
          </cell>
          <cell r="G510" t="str">
            <v>FSC0010466</v>
          </cell>
        </row>
        <row r="511">
          <cell r="A511">
            <v>3792191</v>
          </cell>
          <cell r="G511" t="str">
            <v>FSC0010476</v>
          </cell>
        </row>
        <row r="512">
          <cell r="A512">
            <v>3792182</v>
          </cell>
          <cell r="G512" t="str">
            <v>FSC0010467</v>
          </cell>
        </row>
        <row r="513">
          <cell r="A513">
            <v>3792185</v>
          </cell>
          <cell r="G513" t="str">
            <v>FSC0010470</v>
          </cell>
        </row>
        <row r="514">
          <cell r="A514">
            <v>3792184</v>
          </cell>
          <cell r="G514" t="str">
            <v>FSC0010469</v>
          </cell>
        </row>
        <row r="515">
          <cell r="A515">
            <v>3792188</v>
          </cell>
          <cell r="G515" t="str">
            <v>FSC0010473</v>
          </cell>
        </row>
        <row r="516">
          <cell r="A516">
            <v>3792189</v>
          </cell>
          <cell r="G516" t="str">
            <v>FSC0010474</v>
          </cell>
        </row>
        <row r="517">
          <cell r="A517">
            <v>3792187</v>
          </cell>
          <cell r="G517" t="str">
            <v>FSC0010472</v>
          </cell>
        </row>
        <row r="518">
          <cell r="A518">
            <v>3792183</v>
          </cell>
          <cell r="G518" t="str">
            <v>FSC0010468</v>
          </cell>
        </row>
        <row r="519">
          <cell r="A519">
            <v>3792195</v>
          </cell>
          <cell r="G519" t="str">
            <v>FSC0010480</v>
          </cell>
        </row>
        <row r="520">
          <cell r="A520">
            <v>3792198</v>
          </cell>
          <cell r="G520" t="str">
            <v>FSC0010483</v>
          </cell>
        </row>
        <row r="521">
          <cell r="A521">
            <v>3792186</v>
          </cell>
          <cell r="G521" t="str">
            <v>FSC0010471</v>
          </cell>
        </row>
        <row r="522">
          <cell r="A522">
            <v>3792190</v>
          </cell>
          <cell r="G522" t="str">
            <v>FSC0010475</v>
          </cell>
        </row>
        <row r="523">
          <cell r="A523">
            <v>3792192</v>
          </cell>
          <cell r="G523" t="str">
            <v>FSC0010477</v>
          </cell>
        </row>
        <row r="524">
          <cell r="A524">
            <v>3792193</v>
          </cell>
          <cell r="G524" t="str">
            <v>FSC0010478</v>
          </cell>
        </row>
        <row r="525">
          <cell r="A525">
            <v>3792194</v>
          </cell>
          <cell r="G525" t="str">
            <v>FSC0010479</v>
          </cell>
        </row>
        <row r="526">
          <cell r="A526">
            <v>5329933</v>
          </cell>
          <cell r="G526" t="str">
            <v>GMDRC7837</v>
          </cell>
        </row>
        <row r="527">
          <cell r="A527">
            <v>5330424</v>
          </cell>
          <cell r="G527" t="str">
            <v>GMDRC7833</v>
          </cell>
        </row>
        <row r="528">
          <cell r="A528">
            <v>2876793</v>
          </cell>
          <cell r="G528">
            <v>6610</v>
          </cell>
        </row>
        <row r="529">
          <cell r="A529">
            <v>2962239</v>
          </cell>
          <cell r="G529" t="str">
            <v>HREC988</v>
          </cell>
        </row>
        <row r="530">
          <cell r="A530">
            <v>1776466</v>
          </cell>
          <cell r="G530" t="str">
            <v>HSC232299</v>
          </cell>
        </row>
        <row r="531">
          <cell r="A531">
            <v>1784799</v>
          </cell>
          <cell r="G531" t="str">
            <v>HSC232298</v>
          </cell>
        </row>
        <row r="532">
          <cell r="A532">
            <v>1786214</v>
          </cell>
          <cell r="G532" t="str">
            <v>HSC232300</v>
          </cell>
        </row>
        <row r="533">
          <cell r="A533">
            <v>1793219</v>
          </cell>
          <cell r="G533" t="str">
            <v>HSC232302</v>
          </cell>
        </row>
        <row r="534">
          <cell r="A534">
            <v>1828885</v>
          </cell>
          <cell r="G534" t="str">
            <v>HSC232301</v>
          </cell>
        </row>
        <row r="535">
          <cell r="A535">
            <v>1808949</v>
          </cell>
          <cell r="G535" t="str">
            <v>HSC232323</v>
          </cell>
        </row>
        <row r="536">
          <cell r="A536">
            <v>1808960</v>
          </cell>
          <cell r="G536" t="str">
            <v>HSC232319</v>
          </cell>
        </row>
        <row r="537">
          <cell r="A537">
            <v>1808927</v>
          </cell>
          <cell r="G537" t="str">
            <v>HSC232317</v>
          </cell>
        </row>
        <row r="538">
          <cell r="A538">
            <v>1808970</v>
          </cell>
          <cell r="G538" t="str">
            <v>HSC232325</v>
          </cell>
        </row>
        <row r="539">
          <cell r="A539">
            <v>1808938</v>
          </cell>
          <cell r="G539" t="str">
            <v>HSC232318</v>
          </cell>
        </row>
        <row r="540">
          <cell r="A540">
            <v>1767307</v>
          </cell>
          <cell r="G540" t="str">
            <v>HSC232324</v>
          </cell>
        </row>
        <row r="541">
          <cell r="A541">
            <v>1767614</v>
          </cell>
          <cell r="G541" t="str">
            <v>HSC232314</v>
          </cell>
        </row>
        <row r="542">
          <cell r="A542">
            <v>1773597</v>
          </cell>
          <cell r="G542" t="str">
            <v>HSC232310</v>
          </cell>
        </row>
        <row r="543">
          <cell r="A543">
            <v>1777507</v>
          </cell>
          <cell r="G543" t="str">
            <v>HSC232320</v>
          </cell>
        </row>
        <row r="544">
          <cell r="A544">
            <v>1804476</v>
          </cell>
          <cell r="G544" t="str">
            <v>HSC232308</v>
          </cell>
        </row>
        <row r="545">
          <cell r="A545">
            <v>1804478</v>
          </cell>
          <cell r="G545" t="str">
            <v>HSC232309</v>
          </cell>
        </row>
        <row r="546">
          <cell r="A546">
            <v>1777902</v>
          </cell>
          <cell r="G546" t="str">
            <v>HSC232311</v>
          </cell>
        </row>
        <row r="547">
          <cell r="A547">
            <v>1777873</v>
          </cell>
          <cell r="G547" t="str">
            <v>HSC232321</v>
          </cell>
        </row>
        <row r="548">
          <cell r="A548">
            <v>1781883</v>
          </cell>
          <cell r="G548" t="str">
            <v>HSC232327</v>
          </cell>
        </row>
        <row r="549">
          <cell r="A549">
            <v>1786046</v>
          </cell>
          <cell r="G549" t="str">
            <v>HSC232315</v>
          </cell>
        </row>
        <row r="550">
          <cell r="A550">
            <v>1784768</v>
          </cell>
          <cell r="G550" t="str">
            <v>HSC232307</v>
          </cell>
        </row>
        <row r="551">
          <cell r="A551">
            <v>1800936</v>
          </cell>
          <cell r="G551" t="str">
            <v>HSC232322</v>
          </cell>
        </row>
        <row r="552">
          <cell r="A552">
            <v>1806660</v>
          </cell>
          <cell r="G552" t="str">
            <v>HSC232326</v>
          </cell>
        </row>
        <row r="553">
          <cell r="A553">
            <v>1826642</v>
          </cell>
          <cell r="G553" t="str">
            <v>HSC232312</v>
          </cell>
        </row>
        <row r="554">
          <cell r="A554">
            <v>1826582</v>
          </cell>
          <cell r="G554" t="str">
            <v>HSC232313</v>
          </cell>
        </row>
        <row r="555">
          <cell r="A555">
            <v>1829694</v>
          </cell>
          <cell r="G555" t="str">
            <v>HSC232316</v>
          </cell>
        </row>
        <row r="556">
          <cell r="A556">
            <v>3669165</v>
          </cell>
          <cell r="G556" t="str">
            <v>HSC232306</v>
          </cell>
        </row>
        <row r="557">
          <cell r="A557">
            <v>631760</v>
          </cell>
          <cell r="G557" t="str">
            <v>IRVC101158</v>
          </cell>
        </row>
        <row r="558">
          <cell r="A558">
            <v>631758</v>
          </cell>
          <cell r="G558" t="str">
            <v>IRVC101163</v>
          </cell>
        </row>
        <row r="559">
          <cell r="A559">
            <v>631762</v>
          </cell>
          <cell r="G559" t="str">
            <v>IRVC101161</v>
          </cell>
        </row>
        <row r="560">
          <cell r="A560">
            <v>2960494</v>
          </cell>
          <cell r="G560" t="str">
            <v>IRVC101162</v>
          </cell>
        </row>
        <row r="561">
          <cell r="A561">
            <v>631759</v>
          </cell>
          <cell r="G561" t="str">
            <v>IRVC101215</v>
          </cell>
        </row>
        <row r="562">
          <cell r="A562">
            <v>632985</v>
          </cell>
          <cell r="G562" t="str">
            <v>IRVC101218</v>
          </cell>
        </row>
        <row r="563">
          <cell r="A563">
            <v>632989</v>
          </cell>
          <cell r="G563" t="str">
            <v>IRVC101166</v>
          </cell>
        </row>
        <row r="564">
          <cell r="A564">
            <v>632993</v>
          </cell>
          <cell r="G564" t="str">
            <v>IRVC101165</v>
          </cell>
        </row>
        <row r="565">
          <cell r="A565">
            <v>632984</v>
          </cell>
          <cell r="G565" t="str">
            <v>IRVC101217</v>
          </cell>
        </row>
        <row r="566">
          <cell r="A566">
            <v>632988</v>
          </cell>
          <cell r="G566" t="str">
            <v>IRVC101219</v>
          </cell>
        </row>
        <row r="567">
          <cell r="A567">
            <v>633444</v>
          </cell>
          <cell r="G567" t="str">
            <v>IRVC101160</v>
          </cell>
        </row>
        <row r="568">
          <cell r="A568">
            <v>634125</v>
          </cell>
          <cell r="G568" t="str">
            <v>IRVC101159</v>
          </cell>
        </row>
        <row r="569">
          <cell r="A569">
            <v>634491</v>
          </cell>
          <cell r="G569" t="str">
            <v>IRVC101164</v>
          </cell>
        </row>
        <row r="570">
          <cell r="A570">
            <v>2960569</v>
          </cell>
          <cell r="G570" t="str">
            <v>IRVC101167</v>
          </cell>
        </row>
        <row r="571">
          <cell r="A571">
            <v>2960568</v>
          </cell>
          <cell r="G571" t="str">
            <v>IRVC101168</v>
          </cell>
        </row>
        <row r="572">
          <cell r="A572">
            <v>2960570</v>
          </cell>
          <cell r="G572" t="str">
            <v>IRVC101170</v>
          </cell>
        </row>
        <row r="573">
          <cell r="A573">
            <v>2890849</v>
          </cell>
          <cell r="G573" t="str">
            <v>IRVC100801</v>
          </cell>
        </row>
        <row r="574">
          <cell r="A574">
            <v>2960499</v>
          </cell>
          <cell r="G574" t="str">
            <v>IRVC101205</v>
          </cell>
        </row>
        <row r="575">
          <cell r="A575">
            <v>2960498</v>
          </cell>
          <cell r="G575" t="str">
            <v>IRVC101206</v>
          </cell>
        </row>
        <row r="576">
          <cell r="A576">
            <v>631790</v>
          </cell>
          <cell r="G576" t="str">
            <v>IRVC101175</v>
          </cell>
        </row>
        <row r="577">
          <cell r="A577">
            <v>631789</v>
          </cell>
          <cell r="G577" t="str">
            <v>IRVC101189</v>
          </cell>
        </row>
        <row r="578">
          <cell r="A578">
            <v>631791</v>
          </cell>
          <cell r="G578" t="str">
            <v>IRVC101191</v>
          </cell>
        </row>
        <row r="579">
          <cell r="A579">
            <v>631780</v>
          </cell>
          <cell r="G579" t="str">
            <v>IRVC101188</v>
          </cell>
        </row>
        <row r="580">
          <cell r="A580">
            <v>631771</v>
          </cell>
          <cell r="G580" t="str">
            <v>IRVC101194</v>
          </cell>
        </row>
        <row r="581">
          <cell r="A581">
            <v>631784</v>
          </cell>
          <cell r="G581" t="str">
            <v>IRVC101197</v>
          </cell>
        </row>
        <row r="582">
          <cell r="A582">
            <v>631785</v>
          </cell>
          <cell r="G582" t="str">
            <v>IRVC101171</v>
          </cell>
        </row>
        <row r="583">
          <cell r="A583">
            <v>631779</v>
          </cell>
          <cell r="G583" t="str">
            <v>IRVC101184</v>
          </cell>
        </row>
        <row r="584">
          <cell r="A584">
            <v>631765</v>
          </cell>
          <cell r="G584" t="str">
            <v>IRVC101187</v>
          </cell>
        </row>
        <row r="585">
          <cell r="A585">
            <v>631770</v>
          </cell>
          <cell r="G585" t="str">
            <v>IRVC101177</v>
          </cell>
        </row>
        <row r="586">
          <cell r="A586">
            <v>2960501</v>
          </cell>
          <cell r="G586" t="str">
            <v>IRVC101199</v>
          </cell>
        </row>
        <row r="587">
          <cell r="A587">
            <v>2960503</v>
          </cell>
          <cell r="G587" t="str">
            <v>IRVC101190</v>
          </cell>
        </row>
        <row r="588">
          <cell r="A588">
            <v>631772</v>
          </cell>
          <cell r="G588" t="str">
            <v>IRVC101198</v>
          </cell>
        </row>
        <row r="589">
          <cell r="A589">
            <v>631775</v>
          </cell>
          <cell r="G589" t="str">
            <v>IRVC101186</v>
          </cell>
        </row>
        <row r="590">
          <cell r="A590">
            <v>631783</v>
          </cell>
          <cell r="G590" t="str">
            <v>IRVC101180</v>
          </cell>
        </row>
        <row r="591">
          <cell r="A591">
            <v>631787</v>
          </cell>
          <cell r="G591" t="str">
            <v>IRVC101195</v>
          </cell>
        </row>
        <row r="592">
          <cell r="A592">
            <v>631773</v>
          </cell>
          <cell r="G592" t="str">
            <v>IRVC101193</v>
          </cell>
        </row>
        <row r="593">
          <cell r="A593">
            <v>631763</v>
          </cell>
          <cell r="G593" t="str">
            <v>IRVC101173</v>
          </cell>
        </row>
        <row r="594">
          <cell r="A594">
            <v>631767</v>
          </cell>
          <cell r="G594" t="str">
            <v>IRVC101178</v>
          </cell>
        </row>
        <row r="595">
          <cell r="A595">
            <v>631769</v>
          </cell>
          <cell r="G595" t="str">
            <v>IRVC101183</v>
          </cell>
        </row>
        <row r="596">
          <cell r="A596">
            <v>631764</v>
          </cell>
          <cell r="G596" t="str">
            <v>IRVC101196</v>
          </cell>
        </row>
        <row r="597">
          <cell r="A597">
            <v>631774</v>
          </cell>
          <cell r="G597" t="str">
            <v>IRVC101176</v>
          </cell>
        </row>
        <row r="598">
          <cell r="A598">
            <v>631778</v>
          </cell>
          <cell r="G598" t="str">
            <v>IRVC101181</v>
          </cell>
        </row>
        <row r="599">
          <cell r="A599">
            <v>631766</v>
          </cell>
          <cell r="G599" t="str">
            <v>IRVC101174</v>
          </cell>
        </row>
        <row r="600">
          <cell r="A600">
            <v>631777</v>
          </cell>
          <cell r="G600" t="str">
            <v>IRVC101179</v>
          </cell>
        </row>
        <row r="601">
          <cell r="A601">
            <v>631776</v>
          </cell>
          <cell r="G601" t="str">
            <v>IRVC101185</v>
          </cell>
        </row>
        <row r="602">
          <cell r="A602">
            <v>631786</v>
          </cell>
          <cell r="G602" t="str">
            <v>IRVC101172</v>
          </cell>
        </row>
        <row r="603">
          <cell r="A603">
            <v>631768</v>
          </cell>
          <cell r="G603" t="str">
            <v>IRVC101182</v>
          </cell>
        </row>
        <row r="604">
          <cell r="A604">
            <v>2960497</v>
          </cell>
          <cell r="G604" t="str">
            <v>IRVC101207</v>
          </cell>
        </row>
        <row r="605">
          <cell r="A605">
            <v>631761</v>
          </cell>
          <cell r="G605" t="str">
            <v>IRVC101216</v>
          </cell>
        </row>
        <row r="606">
          <cell r="A606">
            <v>631782</v>
          </cell>
          <cell r="G606" t="str">
            <v>IRVC101200</v>
          </cell>
        </row>
        <row r="607">
          <cell r="A607">
            <v>2960495</v>
          </cell>
          <cell r="G607" t="str">
            <v>IRVC101209</v>
          </cell>
        </row>
        <row r="608">
          <cell r="A608">
            <v>2960496</v>
          </cell>
          <cell r="G608" t="str">
            <v>IRVC101208</v>
          </cell>
        </row>
        <row r="609">
          <cell r="A609">
            <v>2960502</v>
          </cell>
          <cell r="G609" t="str">
            <v>IRVC101192</v>
          </cell>
        </row>
        <row r="610">
          <cell r="A610">
            <v>632033</v>
          </cell>
        </row>
        <row r="611">
          <cell r="A611">
            <v>2960500</v>
          </cell>
          <cell r="G611" t="str">
            <v>IRVC101204</v>
          </cell>
        </row>
        <row r="612">
          <cell r="A612">
            <v>632655</v>
          </cell>
          <cell r="G612" t="str">
            <v>IRVC101202</v>
          </cell>
        </row>
        <row r="613">
          <cell r="A613">
            <v>632879</v>
          </cell>
          <cell r="G613" t="str">
            <v>IRVC101203</v>
          </cell>
        </row>
        <row r="614">
          <cell r="A614">
            <v>633454</v>
          </cell>
          <cell r="G614" t="str">
            <v>IRVC101201</v>
          </cell>
        </row>
        <row r="615">
          <cell r="A615">
            <v>630761</v>
          </cell>
          <cell r="G615" t="str">
            <v>IRVC101210</v>
          </cell>
        </row>
        <row r="616">
          <cell r="A616">
            <v>3904069</v>
          </cell>
          <cell r="G616" t="str">
            <v>LA00606050</v>
          </cell>
        </row>
        <row r="617">
          <cell r="A617">
            <v>3904071</v>
          </cell>
          <cell r="G617" t="str">
            <v>LA00606053</v>
          </cell>
        </row>
        <row r="618">
          <cell r="A618">
            <v>3904090</v>
          </cell>
          <cell r="G618" t="str">
            <v>LA00606071</v>
          </cell>
        </row>
        <row r="619">
          <cell r="A619">
            <v>3904078</v>
          </cell>
          <cell r="G619" t="str">
            <v>LA00606059</v>
          </cell>
        </row>
        <row r="620">
          <cell r="A620">
            <v>3904091</v>
          </cell>
          <cell r="G620" t="str">
            <v>LA00606073</v>
          </cell>
        </row>
        <row r="621">
          <cell r="A621">
            <v>3904081</v>
          </cell>
          <cell r="G621" t="str">
            <v>LA00606061</v>
          </cell>
        </row>
        <row r="622">
          <cell r="A622">
            <v>3904070</v>
          </cell>
          <cell r="G622" t="str">
            <v>LA00606051</v>
          </cell>
        </row>
        <row r="623">
          <cell r="A623">
            <v>4721</v>
          </cell>
        </row>
        <row r="624">
          <cell r="A624">
            <v>3904072</v>
          </cell>
          <cell r="G624" t="str">
            <v>LA00606052</v>
          </cell>
        </row>
        <row r="625">
          <cell r="A625">
            <v>1176</v>
          </cell>
          <cell r="G625" t="str">
            <v>LA00632418</v>
          </cell>
        </row>
        <row r="626">
          <cell r="A626">
            <v>3904095</v>
          </cell>
          <cell r="G626" t="str">
            <v>LA00606076</v>
          </cell>
        </row>
        <row r="627">
          <cell r="A627">
            <v>4235</v>
          </cell>
        </row>
        <row r="628">
          <cell r="A628">
            <v>4455</v>
          </cell>
        </row>
        <row r="629">
          <cell r="A629">
            <v>18974</v>
          </cell>
        </row>
        <row r="630">
          <cell r="A630">
            <v>5217104</v>
          </cell>
          <cell r="G630" t="str">
            <v>LA00647863</v>
          </cell>
        </row>
        <row r="631">
          <cell r="A631">
            <v>5371810</v>
          </cell>
          <cell r="G631" t="str">
            <v>LA00629274</v>
          </cell>
        </row>
        <row r="632">
          <cell r="A632">
            <v>2262508</v>
          </cell>
          <cell r="G632" t="str">
            <v>LOB116463</v>
          </cell>
        </row>
        <row r="633">
          <cell r="A633">
            <v>2262509</v>
          </cell>
          <cell r="G633" t="str">
            <v>LOB116464</v>
          </cell>
        </row>
        <row r="634">
          <cell r="A634">
            <v>2262510</v>
          </cell>
          <cell r="G634" t="str">
            <v>LOB116465</v>
          </cell>
        </row>
        <row r="635">
          <cell r="A635">
            <v>2262517</v>
          </cell>
          <cell r="G635" t="str">
            <v>LOB116472</v>
          </cell>
        </row>
        <row r="636">
          <cell r="A636">
            <v>2262518</v>
          </cell>
          <cell r="G636" t="str">
            <v>LOB116473</v>
          </cell>
        </row>
        <row r="637">
          <cell r="A637">
            <v>2262519</v>
          </cell>
          <cell r="G637" t="str">
            <v>LOB116474</v>
          </cell>
        </row>
        <row r="638">
          <cell r="A638">
            <v>2262516</v>
          </cell>
          <cell r="G638" t="str">
            <v>LOB116471</v>
          </cell>
        </row>
        <row r="639">
          <cell r="A639">
            <v>2262522</v>
          </cell>
          <cell r="G639" t="str">
            <v>LOB116477</v>
          </cell>
        </row>
        <row r="640">
          <cell r="A640">
            <v>2262523</v>
          </cell>
          <cell r="G640" t="str">
            <v>LOB116478</v>
          </cell>
        </row>
        <row r="641">
          <cell r="A641">
            <v>254946</v>
          </cell>
          <cell r="G641" t="str">
            <v>LOB116469</v>
          </cell>
        </row>
        <row r="642">
          <cell r="A642">
            <v>2262524</v>
          </cell>
          <cell r="G642" t="str">
            <v>LOB116479</v>
          </cell>
        </row>
        <row r="643">
          <cell r="A643">
            <v>254712</v>
          </cell>
          <cell r="G643" t="str">
            <v>LOB116470</v>
          </cell>
        </row>
        <row r="644">
          <cell r="A644">
            <v>5563117</v>
          </cell>
          <cell r="G644" t="str">
            <v>LOB107937</v>
          </cell>
        </row>
        <row r="645">
          <cell r="A645">
            <v>5561921</v>
          </cell>
          <cell r="G645" t="str">
            <v>LOB107913</v>
          </cell>
        </row>
        <row r="646">
          <cell r="A646">
            <v>3123760</v>
          </cell>
          <cell r="G646" t="str">
            <v>LOB102260</v>
          </cell>
        </row>
        <row r="647">
          <cell r="A647">
            <v>5732610</v>
          </cell>
          <cell r="G647" t="str">
            <v>LOB102272</v>
          </cell>
        </row>
        <row r="648">
          <cell r="A648">
            <v>5799408</v>
          </cell>
          <cell r="G648" t="str">
            <v>LOB102934</v>
          </cell>
        </row>
        <row r="649">
          <cell r="A649">
            <v>2866605</v>
          </cell>
          <cell r="G649" t="str">
            <v>MACF030447</v>
          </cell>
        </row>
        <row r="650">
          <cell r="A650">
            <v>2866648</v>
          </cell>
          <cell r="G650" t="str">
            <v>MACF030445</v>
          </cell>
        </row>
        <row r="651">
          <cell r="A651">
            <v>2866599</v>
          </cell>
          <cell r="G651" t="str">
            <v>MACF030446</v>
          </cell>
        </row>
        <row r="652">
          <cell r="A652">
            <v>2866661</v>
          </cell>
          <cell r="G652" t="str">
            <v>MACF030450</v>
          </cell>
        </row>
        <row r="653">
          <cell r="A653">
            <v>2866701</v>
          </cell>
          <cell r="G653" t="str">
            <v>MACF030449</v>
          </cell>
        </row>
        <row r="654">
          <cell r="A654">
            <v>2866713</v>
          </cell>
          <cell r="G654" t="str">
            <v>MACF030448</v>
          </cell>
        </row>
        <row r="655">
          <cell r="A655">
            <v>2866651</v>
          </cell>
          <cell r="G655" t="str">
            <v>MACF030451</v>
          </cell>
        </row>
        <row r="656">
          <cell r="A656">
            <v>2866651</v>
          </cell>
          <cell r="G656" t="str">
            <v>MACF030451</v>
          </cell>
        </row>
        <row r="657">
          <cell r="A657">
            <v>2866836</v>
          </cell>
          <cell r="G657" t="str">
            <v>MACF030464</v>
          </cell>
        </row>
        <row r="658">
          <cell r="A658">
            <v>2866807</v>
          </cell>
          <cell r="G658" t="str">
            <v>MACF030466</v>
          </cell>
        </row>
        <row r="659">
          <cell r="A659">
            <v>2866505</v>
          </cell>
          <cell r="G659" t="str">
            <v>MACF030455</v>
          </cell>
        </row>
        <row r="660">
          <cell r="A660">
            <v>2866856</v>
          </cell>
          <cell r="G660" t="str">
            <v>MACF030465</v>
          </cell>
        </row>
        <row r="661">
          <cell r="A661">
            <v>2866720</v>
          </cell>
          <cell r="G661" t="str">
            <v>MACF030460</v>
          </cell>
        </row>
        <row r="662">
          <cell r="A662">
            <v>2866858</v>
          </cell>
          <cell r="G662" t="str">
            <v>MACF030459</v>
          </cell>
        </row>
        <row r="663">
          <cell r="A663">
            <v>2866560</v>
          </cell>
          <cell r="G663" t="str">
            <v>MACF030456</v>
          </cell>
        </row>
        <row r="664">
          <cell r="A664">
            <v>2866696</v>
          </cell>
          <cell r="G664" t="str">
            <v>MACF030461</v>
          </cell>
        </row>
        <row r="665">
          <cell r="A665">
            <v>2866747</v>
          </cell>
          <cell r="G665" t="str">
            <v>MACF030462</v>
          </cell>
        </row>
        <row r="666">
          <cell r="A666">
            <v>2866502</v>
          </cell>
          <cell r="G666" t="str">
            <v>MACF030469</v>
          </cell>
        </row>
        <row r="667">
          <cell r="A667">
            <v>2866608</v>
          </cell>
          <cell r="G667" t="str">
            <v>MACF030453</v>
          </cell>
        </row>
        <row r="668">
          <cell r="A668">
            <v>2866761</v>
          </cell>
          <cell r="G668" t="str">
            <v>MACF030463</v>
          </cell>
        </row>
        <row r="669">
          <cell r="A669">
            <v>2866794</v>
          </cell>
          <cell r="G669" t="str">
            <v>MACF030467</v>
          </cell>
        </row>
        <row r="670">
          <cell r="A670">
            <v>2866834</v>
          </cell>
          <cell r="G670" t="str">
            <v>MACF030458</v>
          </cell>
        </row>
        <row r="671">
          <cell r="A671">
            <v>2866841</v>
          </cell>
          <cell r="G671" t="str">
            <v>MACF030470</v>
          </cell>
        </row>
        <row r="672">
          <cell r="A672">
            <v>2866491</v>
          </cell>
          <cell r="G672" t="str">
            <v>MACF030454</v>
          </cell>
        </row>
        <row r="673">
          <cell r="A673">
            <v>2866594</v>
          </cell>
          <cell r="G673" t="str">
            <v>MACF030452</v>
          </cell>
        </row>
        <row r="674">
          <cell r="A674">
            <v>2866494</v>
          </cell>
          <cell r="G674" t="str">
            <v>MACF030468</v>
          </cell>
        </row>
        <row r="675">
          <cell r="A675">
            <v>2866542</v>
          </cell>
          <cell r="G675" t="str">
            <v>MACF030457</v>
          </cell>
        </row>
        <row r="676">
          <cell r="A676">
            <v>6048990</v>
          </cell>
        </row>
        <row r="677">
          <cell r="A677">
            <v>5840581</v>
          </cell>
          <cell r="G677">
            <v>87142</v>
          </cell>
        </row>
        <row r="678">
          <cell r="A678">
            <v>5840437</v>
          </cell>
          <cell r="G678">
            <v>87141</v>
          </cell>
        </row>
        <row r="679">
          <cell r="A679">
            <v>3949199</v>
          </cell>
          <cell r="G679">
            <v>1996</v>
          </cell>
        </row>
        <row r="680">
          <cell r="A680">
            <v>3949201</v>
          </cell>
          <cell r="G680">
            <v>1995</v>
          </cell>
        </row>
        <row r="681">
          <cell r="A681">
            <v>3949202</v>
          </cell>
          <cell r="G681">
            <v>1994</v>
          </cell>
        </row>
        <row r="682">
          <cell r="A682">
            <v>3949203</v>
          </cell>
          <cell r="G682">
            <v>503</v>
          </cell>
        </row>
        <row r="683">
          <cell r="A683">
            <v>3949204</v>
          </cell>
          <cell r="G683">
            <v>240</v>
          </cell>
        </row>
        <row r="684">
          <cell r="A684">
            <v>202452</v>
          </cell>
          <cell r="G684" t="str">
            <v>OBI101738</v>
          </cell>
        </row>
        <row r="685">
          <cell r="A685">
            <v>202451</v>
          </cell>
          <cell r="G685" t="str">
            <v>OBI101739</v>
          </cell>
        </row>
        <row r="686">
          <cell r="A686">
            <v>202503</v>
          </cell>
          <cell r="G686" t="str">
            <v>OBI101736</v>
          </cell>
        </row>
        <row r="687">
          <cell r="A687">
            <v>202447</v>
          </cell>
          <cell r="G687" t="str">
            <v>OBI101737</v>
          </cell>
        </row>
        <row r="688">
          <cell r="A688">
            <v>202450</v>
          </cell>
          <cell r="G688" t="str">
            <v>OBI101735</v>
          </cell>
        </row>
        <row r="689">
          <cell r="A689">
            <v>202448</v>
          </cell>
          <cell r="G689" t="str">
            <v>OBI181422</v>
          </cell>
        </row>
        <row r="690">
          <cell r="A690">
            <v>202449</v>
          </cell>
          <cell r="G690" t="str">
            <v>OBI101734</v>
          </cell>
        </row>
        <row r="691">
          <cell r="A691">
            <v>3641757</v>
          </cell>
          <cell r="G691" t="str">
            <v>OBI166658</v>
          </cell>
        </row>
        <row r="692">
          <cell r="A692">
            <v>202465</v>
          </cell>
          <cell r="G692" t="str">
            <v>OBI101786</v>
          </cell>
        </row>
        <row r="693">
          <cell r="A693">
            <v>202470</v>
          </cell>
          <cell r="G693" t="str">
            <v>OBI101765</v>
          </cell>
        </row>
        <row r="694">
          <cell r="A694">
            <v>202455</v>
          </cell>
          <cell r="G694" t="str">
            <v>OBI101767</v>
          </cell>
        </row>
        <row r="695">
          <cell r="A695">
            <v>202486</v>
          </cell>
          <cell r="G695" t="str">
            <v>OBI101768</v>
          </cell>
        </row>
        <row r="696">
          <cell r="A696">
            <v>202469</v>
          </cell>
          <cell r="G696" t="str">
            <v>OBI101766</v>
          </cell>
        </row>
        <row r="697">
          <cell r="A697">
            <v>202487</v>
          </cell>
          <cell r="G697" t="str">
            <v>OBI101753</v>
          </cell>
        </row>
        <row r="698">
          <cell r="A698">
            <v>202499</v>
          </cell>
          <cell r="G698" t="str">
            <v>OBI101745</v>
          </cell>
        </row>
        <row r="699">
          <cell r="A699">
            <v>202453</v>
          </cell>
          <cell r="G699" t="str">
            <v>OBI101750</v>
          </cell>
        </row>
        <row r="700">
          <cell r="A700">
            <v>202456</v>
          </cell>
          <cell r="G700" t="str">
            <v>OBI101764</v>
          </cell>
        </row>
        <row r="701">
          <cell r="A701">
            <v>202489</v>
          </cell>
          <cell r="G701" t="str">
            <v>OBI101763</v>
          </cell>
        </row>
        <row r="702">
          <cell r="A702">
            <v>202488</v>
          </cell>
          <cell r="G702" t="str">
            <v>OBI101756</v>
          </cell>
        </row>
        <row r="703">
          <cell r="A703">
            <v>202468</v>
          </cell>
          <cell r="G703" t="str">
            <v>OBI101760</v>
          </cell>
        </row>
        <row r="704">
          <cell r="A704">
            <v>202491</v>
          </cell>
          <cell r="G704" t="str">
            <v>OBI101785</v>
          </cell>
        </row>
        <row r="705">
          <cell r="A705">
            <v>202498</v>
          </cell>
          <cell r="G705" t="str">
            <v>OBI101776</v>
          </cell>
        </row>
        <row r="706">
          <cell r="A706">
            <v>202476</v>
          </cell>
          <cell r="G706" t="str">
            <v>OBI101772</v>
          </cell>
        </row>
        <row r="707">
          <cell r="A707">
            <v>202466</v>
          </cell>
          <cell r="G707" t="str">
            <v>OBI101759</v>
          </cell>
        </row>
        <row r="708">
          <cell r="A708">
            <v>202478</v>
          </cell>
          <cell r="G708" t="str">
            <v>OBI101752</v>
          </cell>
        </row>
        <row r="709">
          <cell r="A709">
            <v>202485</v>
          </cell>
          <cell r="G709" t="str">
            <v>OBI101755</v>
          </cell>
        </row>
        <row r="710">
          <cell r="A710">
            <v>202454</v>
          </cell>
          <cell r="G710" t="str">
            <v>OBI101778</v>
          </cell>
        </row>
        <row r="711">
          <cell r="A711">
            <v>202471</v>
          </cell>
          <cell r="G711" t="str">
            <v>OBI101788</v>
          </cell>
        </row>
        <row r="712">
          <cell r="A712">
            <v>202472</v>
          </cell>
          <cell r="G712" t="str">
            <v>OBI101773</v>
          </cell>
        </row>
        <row r="713">
          <cell r="A713">
            <v>202497</v>
          </cell>
          <cell r="G713" t="str">
            <v>OBI101782</v>
          </cell>
        </row>
        <row r="714">
          <cell r="A714">
            <v>202467</v>
          </cell>
          <cell r="G714" t="str">
            <v>OBI101762</v>
          </cell>
        </row>
        <row r="715">
          <cell r="A715">
            <v>202493</v>
          </cell>
          <cell r="G715" t="str">
            <v>OBI101758</v>
          </cell>
        </row>
        <row r="716">
          <cell r="A716">
            <v>202457</v>
          </cell>
          <cell r="G716" t="str">
            <v>OBI101757</v>
          </cell>
        </row>
        <row r="717">
          <cell r="A717">
            <v>202474</v>
          </cell>
          <cell r="G717" t="str">
            <v>OBI101784</v>
          </cell>
        </row>
        <row r="718">
          <cell r="A718">
            <v>6008207</v>
          </cell>
        </row>
        <row r="719">
          <cell r="A719">
            <v>202446</v>
          </cell>
          <cell r="G719" t="str">
            <v>OBI101742</v>
          </cell>
        </row>
        <row r="720">
          <cell r="A720">
            <v>202460</v>
          </cell>
          <cell r="G720" t="str">
            <v>OBI101746</v>
          </cell>
        </row>
        <row r="721">
          <cell r="A721">
            <v>202461</v>
          </cell>
          <cell r="G721" t="str">
            <v>OBI101747</v>
          </cell>
        </row>
        <row r="722">
          <cell r="A722">
            <v>202483</v>
          </cell>
          <cell r="G722" t="str">
            <v>OBI101779</v>
          </cell>
        </row>
        <row r="723">
          <cell r="A723">
            <v>202482</v>
          </cell>
          <cell r="G723" t="str">
            <v>OBI101751</v>
          </cell>
        </row>
        <row r="724">
          <cell r="A724">
            <v>202473</v>
          </cell>
          <cell r="G724" t="str">
            <v>OBI101787</v>
          </cell>
        </row>
        <row r="725">
          <cell r="A725">
            <v>202481</v>
          </cell>
          <cell r="G725" t="str">
            <v>OBI101743</v>
          </cell>
        </row>
        <row r="726">
          <cell r="A726">
            <v>202462</v>
          </cell>
          <cell r="G726" t="str">
            <v>OBI101780</v>
          </cell>
        </row>
        <row r="727">
          <cell r="A727">
            <v>202490</v>
          </cell>
          <cell r="G727" t="str">
            <v>OBI101771</v>
          </cell>
        </row>
        <row r="728">
          <cell r="A728">
            <v>202477</v>
          </cell>
          <cell r="G728" t="str">
            <v>OBI101781</v>
          </cell>
        </row>
        <row r="729">
          <cell r="A729">
            <v>202494</v>
          </cell>
          <cell r="G729" t="str">
            <v>OBI101775</v>
          </cell>
        </row>
        <row r="730">
          <cell r="A730">
            <v>202495</v>
          </cell>
          <cell r="G730" t="str">
            <v>OBI101777</v>
          </cell>
        </row>
        <row r="731">
          <cell r="A731">
            <v>6008220</v>
          </cell>
          <cell r="G731" t="str">
            <v>OBI204067</v>
          </cell>
        </row>
        <row r="732">
          <cell r="A732">
            <v>6008224</v>
          </cell>
          <cell r="G732" t="str">
            <v>OBI204065</v>
          </cell>
        </row>
        <row r="733">
          <cell r="A733">
            <v>202492</v>
          </cell>
          <cell r="G733" t="str">
            <v>OBI101754</v>
          </cell>
        </row>
        <row r="734">
          <cell r="A734">
            <v>2211615</v>
          </cell>
          <cell r="G734" t="str">
            <v>OBI140534</v>
          </cell>
        </row>
        <row r="735">
          <cell r="A735">
            <v>202479</v>
          </cell>
          <cell r="G735" t="str">
            <v>OBI101748</v>
          </cell>
        </row>
        <row r="736">
          <cell r="A736">
            <v>202459</v>
          </cell>
          <cell r="G736" t="str">
            <v>OBI101774</v>
          </cell>
        </row>
        <row r="737">
          <cell r="A737">
            <v>202484</v>
          </cell>
          <cell r="G737" t="str">
            <v>OBI101783</v>
          </cell>
        </row>
        <row r="738">
          <cell r="A738">
            <v>202496</v>
          </cell>
          <cell r="G738" t="str">
            <v>OBI101790</v>
          </cell>
        </row>
        <row r="739">
          <cell r="A739">
            <v>202475</v>
          </cell>
          <cell r="G739" t="str">
            <v>OBI101744</v>
          </cell>
        </row>
        <row r="740">
          <cell r="A740">
            <v>202464</v>
          </cell>
          <cell r="G740" t="str">
            <v>OBI181423</v>
          </cell>
        </row>
        <row r="741">
          <cell r="A741">
            <v>202463</v>
          </cell>
          <cell r="G741" t="str">
            <v>OBI101789</v>
          </cell>
        </row>
        <row r="742">
          <cell r="A742">
            <v>202458</v>
          </cell>
          <cell r="G742" t="str">
            <v>OBI101791</v>
          </cell>
        </row>
        <row r="743">
          <cell r="A743">
            <v>202480</v>
          </cell>
          <cell r="G743" t="str">
            <v>OBI101761</v>
          </cell>
        </row>
        <row r="744">
          <cell r="A744">
            <v>3798671</v>
          </cell>
          <cell r="G744" t="str">
            <v>OBI173151</v>
          </cell>
        </row>
        <row r="745">
          <cell r="A745">
            <v>2252335</v>
          </cell>
          <cell r="G745" t="str">
            <v>OBI145924</v>
          </cell>
        </row>
        <row r="746">
          <cell r="A746">
            <v>4620146</v>
          </cell>
        </row>
        <row r="747">
          <cell r="A747">
            <v>4620471</v>
          </cell>
        </row>
        <row r="748">
          <cell r="A748">
            <v>4621000</v>
          </cell>
        </row>
        <row r="749">
          <cell r="A749">
            <v>216778</v>
          </cell>
          <cell r="G749" t="str">
            <v>OBI101740</v>
          </cell>
        </row>
        <row r="750">
          <cell r="A750">
            <v>4562413</v>
          </cell>
          <cell r="G750" t="str">
            <v>OBI148565</v>
          </cell>
        </row>
        <row r="751">
          <cell r="A751">
            <v>215180</v>
          </cell>
          <cell r="G751" t="str">
            <v>OBI101741</v>
          </cell>
        </row>
        <row r="752">
          <cell r="A752">
            <v>3630484</v>
          </cell>
          <cell r="G752" t="str">
            <v>OBI161552</v>
          </cell>
        </row>
        <row r="753">
          <cell r="A753">
            <v>3641756</v>
          </cell>
          <cell r="G753" t="str">
            <v>OBI166657</v>
          </cell>
        </row>
        <row r="754">
          <cell r="A754">
            <v>5752868</v>
          </cell>
          <cell r="G754" t="str">
            <v>OBI183593</v>
          </cell>
        </row>
        <row r="755">
          <cell r="A755">
            <v>5760426</v>
          </cell>
          <cell r="G755" t="str">
            <v>OBI183611</v>
          </cell>
        </row>
        <row r="756">
          <cell r="A756">
            <v>2916054</v>
          </cell>
          <cell r="G756" t="str">
            <v>PASA_2074</v>
          </cell>
        </row>
        <row r="757">
          <cell r="A757">
            <v>5723178</v>
          </cell>
          <cell r="G757" t="str">
            <v>PINN-00287</v>
          </cell>
        </row>
        <row r="758">
          <cell r="A758">
            <v>3969450</v>
          </cell>
          <cell r="G758">
            <v>208</v>
          </cell>
        </row>
        <row r="759">
          <cell r="A759">
            <v>4488222</v>
          </cell>
          <cell r="G759" t="str">
            <v>PUA009194</v>
          </cell>
        </row>
        <row r="760">
          <cell r="A760">
            <v>4459069</v>
          </cell>
          <cell r="G760" t="str">
            <v>PUA009210</v>
          </cell>
        </row>
        <row r="761">
          <cell r="A761">
            <v>4472711</v>
          </cell>
          <cell r="G761" t="str">
            <v>PUA009206</v>
          </cell>
        </row>
        <row r="762">
          <cell r="A762">
            <v>4458927</v>
          </cell>
          <cell r="G762" t="str">
            <v>PUA009198</v>
          </cell>
        </row>
        <row r="763">
          <cell r="A763">
            <v>4465868</v>
          </cell>
          <cell r="G763" t="str">
            <v>PUA009212</v>
          </cell>
        </row>
        <row r="764">
          <cell r="A764">
            <v>4471174</v>
          </cell>
          <cell r="G764" t="str">
            <v>PUA009202</v>
          </cell>
        </row>
        <row r="765">
          <cell r="A765">
            <v>4471937</v>
          </cell>
        </row>
        <row r="766">
          <cell r="A766">
            <v>4485099</v>
          </cell>
          <cell r="G766" t="str">
            <v>PUA009204</v>
          </cell>
        </row>
        <row r="767">
          <cell r="A767">
            <v>4457537</v>
          </cell>
          <cell r="G767" t="str">
            <v>PUA009200</v>
          </cell>
        </row>
        <row r="768">
          <cell r="A768">
            <v>4460311</v>
          </cell>
          <cell r="G768" t="str">
            <v>PUA009205</v>
          </cell>
        </row>
        <row r="769">
          <cell r="A769">
            <v>4459156</v>
          </cell>
          <cell r="G769" t="str">
            <v>PUA009207</v>
          </cell>
        </row>
        <row r="770">
          <cell r="A770">
            <v>4464643</v>
          </cell>
        </row>
        <row r="771">
          <cell r="A771">
            <v>4458930</v>
          </cell>
          <cell r="G771" t="str">
            <v>PUA009197</v>
          </cell>
        </row>
        <row r="772">
          <cell r="A772">
            <v>4480533</v>
          </cell>
          <cell r="G772" t="str">
            <v>PUA009196</v>
          </cell>
        </row>
        <row r="773">
          <cell r="A773">
            <v>4460478</v>
          </cell>
          <cell r="G773" t="str">
            <v>PUA009209</v>
          </cell>
        </row>
        <row r="774">
          <cell r="A774">
            <v>4460519</v>
          </cell>
          <cell r="G774" t="str">
            <v>PUA009211</v>
          </cell>
        </row>
        <row r="775">
          <cell r="A775">
            <v>4474805</v>
          </cell>
        </row>
        <row r="776">
          <cell r="A776">
            <v>4745883</v>
          </cell>
          <cell r="G776">
            <v>78052</v>
          </cell>
        </row>
        <row r="777">
          <cell r="A777">
            <v>4745865</v>
          </cell>
          <cell r="G777">
            <v>77917</v>
          </cell>
        </row>
        <row r="778">
          <cell r="A778">
            <v>4745859</v>
          </cell>
          <cell r="G778">
            <v>77913</v>
          </cell>
        </row>
        <row r="779">
          <cell r="A779">
            <v>4745866</v>
          </cell>
          <cell r="G779">
            <v>77918</v>
          </cell>
        </row>
        <row r="780">
          <cell r="A780">
            <v>4745869</v>
          </cell>
          <cell r="G780">
            <v>77919</v>
          </cell>
        </row>
        <row r="781">
          <cell r="A781">
            <v>4745855</v>
          </cell>
          <cell r="G781">
            <v>77909</v>
          </cell>
        </row>
        <row r="782">
          <cell r="A782">
            <v>4745864</v>
          </cell>
          <cell r="G782">
            <v>77916</v>
          </cell>
        </row>
        <row r="783">
          <cell r="A783">
            <v>4745856</v>
          </cell>
          <cell r="G783">
            <v>77910</v>
          </cell>
        </row>
        <row r="784">
          <cell r="A784">
            <v>4745870</v>
          </cell>
          <cell r="G784">
            <v>77920</v>
          </cell>
        </row>
        <row r="785">
          <cell r="A785">
            <v>4745861</v>
          </cell>
          <cell r="G785">
            <v>77914</v>
          </cell>
        </row>
        <row r="786">
          <cell r="A786">
            <v>4745863</v>
          </cell>
          <cell r="G786">
            <v>77915</v>
          </cell>
        </row>
        <row r="787">
          <cell r="A787">
            <v>4745854</v>
          </cell>
          <cell r="G787">
            <v>77908</v>
          </cell>
        </row>
        <row r="788">
          <cell r="A788">
            <v>4743360</v>
          </cell>
          <cell r="G788">
            <v>75601</v>
          </cell>
        </row>
        <row r="789">
          <cell r="A789">
            <v>747857</v>
          </cell>
        </row>
        <row r="790">
          <cell r="A790">
            <v>764500</v>
          </cell>
        </row>
        <row r="791">
          <cell r="A791">
            <v>5084121</v>
          </cell>
          <cell r="G791" t="str">
            <v>RSA0335004</v>
          </cell>
        </row>
        <row r="792">
          <cell r="A792">
            <v>1068117</v>
          </cell>
        </row>
        <row r="793">
          <cell r="A793">
            <v>786393</v>
          </cell>
        </row>
        <row r="794">
          <cell r="A794">
            <v>659987</v>
          </cell>
        </row>
        <row r="795">
          <cell r="A795">
            <v>705793</v>
          </cell>
        </row>
        <row r="796">
          <cell r="A796">
            <v>701419</v>
          </cell>
        </row>
        <row r="797">
          <cell r="A797">
            <v>1053432</v>
          </cell>
        </row>
        <row r="798">
          <cell r="A798">
            <v>1195442</v>
          </cell>
          <cell r="G798" t="str">
            <v>RSA0036268</v>
          </cell>
        </row>
        <row r="799">
          <cell r="A799">
            <v>992535</v>
          </cell>
          <cell r="G799" t="str">
            <v>RSA0191131</v>
          </cell>
        </row>
        <row r="800">
          <cell r="A800">
            <v>920853</v>
          </cell>
        </row>
        <row r="801">
          <cell r="A801">
            <v>993506</v>
          </cell>
        </row>
        <row r="802">
          <cell r="A802">
            <v>675717</v>
          </cell>
        </row>
        <row r="803">
          <cell r="A803">
            <v>738882</v>
          </cell>
        </row>
        <row r="804">
          <cell r="A804">
            <v>884527</v>
          </cell>
        </row>
        <row r="805">
          <cell r="A805">
            <v>1166795</v>
          </cell>
        </row>
        <row r="806">
          <cell r="A806">
            <v>1065943</v>
          </cell>
        </row>
        <row r="807">
          <cell r="A807">
            <v>652945</v>
          </cell>
        </row>
        <row r="808">
          <cell r="A808">
            <v>945368</v>
          </cell>
        </row>
        <row r="809">
          <cell r="A809">
            <v>721961</v>
          </cell>
          <cell r="G809" t="str">
            <v>RSA0154110</v>
          </cell>
        </row>
        <row r="810">
          <cell r="A810">
            <v>975870</v>
          </cell>
        </row>
        <row r="811">
          <cell r="A811">
            <v>1244315</v>
          </cell>
        </row>
        <row r="812">
          <cell r="A812">
            <v>3829494</v>
          </cell>
          <cell r="G812" t="str">
            <v>RSA0165092</v>
          </cell>
        </row>
        <row r="813">
          <cell r="A813">
            <v>3831698</v>
          </cell>
          <cell r="G813" t="str">
            <v>RSA0165094</v>
          </cell>
        </row>
        <row r="814">
          <cell r="A814">
            <v>3838512</v>
          </cell>
          <cell r="G814" t="str">
            <v>RSA0164843</v>
          </cell>
        </row>
        <row r="815">
          <cell r="A815">
            <v>1107386</v>
          </cell>
        </row>
        <row r="816">
          <cell r="A816">
            <v>1088339</v>
          </cell>
          <cell r="G816" t="str">
            <v>RSA0027717</v>
          </cell>
        </row>
        <row r="817">
          <cell r="A817">
            <v>1062780</v>
          </cell>
          <cell r="G817" t="str">
            <v>RSA0112065</v>
          </cell>
        </row>
        <row r="818">
          <cell r="A818">
            <v>1171501</v>
          </cell>
        </row>
        <row r="819">
          <cell r="A819">
            <v>1201840</v>
          </cell>
        </row>
        <row r="820">
          <cell r="A820">
            <v>983097</v>
          </cell>
        </row>
        <row r="821">
          <cell r="A821">
            <v>651117</v>
          </cell>
        </row>
        <row r="822">
          <cell r="A822">
            <v>3808605</v>
          </cell>
          <cell r="G822" t="str">
            <v>RSA0146497</v>
          </cell>
        </row>
        <row r="823">
          <cell r="A823">
            <v>3841582</v>
          </cell>
          <cell r="G823" t="str">
            <v>RSA0196618</v>
          </cell>
        </row>
        <row r="824">
          <cell r="A824">
            <v>953408</v>
          </cell>
        </row>
        <row r="825">
          <cell r="A825">
            <v>917287</v>
          </cell>
        </row>
        <row r="826">
          <cell r="A826">
            <v>1078648</v>
          </cell>
        </row>
        <row r="827">
          <cell r="A827">
            <v>904925</v>
          </cell>
        </row>
        <row r="828">
          <cell r="A828">
            <v>1049760</v>
          </cell>
        </row>
        <row r="829">
          <cell r="A829">
            <v>698690</v>
          </cell>
        </row>
        <row r="830">
          <cell r="A830">
            <v>1119072</v>
          </cell>
        </row>
        <row r="831">
          <cell r="A831">
            <v>906238</v>
          </cell>
        </row>
        <row r="832">
          <cell r="A832">
            <v>1091776</v>
          </cell>
        </row>
        <row r="833">
          <cell r="A833">
            <v>712565</v>
          </cell>
        </row>
        <row r="834">
          <cell r="A834">
            <v>682744</v>
          </cell>
        </row>
        <row r="835">
          <cell r="A835">
            <v>715148</v>
          </cell>
        </row>
        <row r="836">
          <cell r="A836">
            <v>1011868</v>
          </cell>
        </row>
        <row r="837">
          <cell r="A837">
            <v>1135498</v>
          </cell>
        </row>
        <row r="838">
          <cell r="A838">
            <v>947300</v>
          </cell>
        </row>
        <row r="839">
          <cell r="A839">
            <v>1113607</v>
          </cell>
        </row>
        <row r="840">
          <cell r="A840">
            <v>648549</v>
          </cell>
        </row>
        <row r="841">
          <cell r="A841">
            <v>935273</v>
          </cell>
        </row>
        <row r="842">
          <cell r="A842">
            <v>968734</v>
          </cell>
        </row>
        <row r="843">
          <cell r="A843">
            <v>1202206</v>
          </cell>
        </row>
        <row r="844">
          <cell r="A844">
            <v>732955</v>
          </cell>
        </row>
        <row r="845">
          <cell r="A845">
            <v>806147</v>
          </cell>
        </row>
        <row r="846">
          <cell r="A846">
            <v>963366</v>
          </cell>
        </row>
        <row r="847">
          <cell r="A847">
            <v>1080763</v>
          </cell>
        </row>
        <row r="848">
          <cell r="A848">
            <v>667072</v>
          </cell>
        </row>
        <row r="849">
          <cell r="A849">
            <v>1123870</v>
          </cell>
        </row>
        <row r="850">
          <cell r="A850">
            <v>684007</v>
          </cell>
        </row>
        <row r="851">
          <cell r="A851">
            <v>1062094</v>
          </cell>
        </row>
        <row r="852">
          <cell r="A852">
            <v>981549</v>
          </cell>
        </row>
        <row r="853">
          <cell r="A853">
            <v>1110471</v>
          </cell>
        </row>
        <row r="854">
          <cell r="A854">
            <v>1119747</v>
          </cell>
        </row>
        <row r="855">
          <cell r="A855">
            <v>956927</v>
          </cell>
        </row>
        <row r="856">
          <cell r="A856">
            <v>1146837</v>
          </cell>
          <cell r="G856" t="str">
            <v>RSA0125360</v>
          </cell>
        </row>
        <row r="857">
          <cell r="A857">
            <v>657525</v>
          </cell>
        </row>
        <row r="858">
          <cell r="A858">
            <v>942849</v>
          </cell>
        </row>
        <row r="859">
          <cell r="A859">
            <v>971402</v>
          </cell>
        </row>
        <row r="860">
          <cell r="A860">
            <v>1050131</v>
          </cell>
        </row>
        <row r="861">
          <cell r="A861">
            <v>1143640</v>
          </cell>
        </row>
        <row r="862">
          <cell r="A862">
            <v>1006340</v>
          </cell>
        </row>
        <row r="863">
          <cell r="A863">
            <v>884140</v>
          </cell>
        </row>
        <row r="864">
          <cell r="A864">
            <v>1110606</v>
          </cell>
        </row>
        <row r="865">
          <cell r="A865">
            <v>997281</v>
          </cell>
        </row>
        <row r="866">
          <cell r="A866">
            <v>1205092</v>
          </cell>
        </row>
        <row r="867">
          <cell r="A867">
            <v>1045591</v>
          </cell>
        </row>
        <row r="868">
          <cell r="A868">
            <v>1224957</v>
          </cell>
        </row>
        <row r="869">
          <cell r="A869">
            <v>1240026</v>
          </cell>
        </row>
        <row r="870">
          <cell r="A870">
            <v>936997</v>
          </cell>
        </row>
        <row r="871">
          <cell r="A871">
            <v>983573</v>
          </cell>
        </row>
        <row r="872">
          <cell r="A872">
            <v>920878</v>
          </cell>
        </row>
        <row r="873">
          <cell r="A873">
            <v>1109866</v>
          </cell>
        </row>
        <row r="874">
          <cell r="A874">
            <v>1045951</v>
          </cell>
        </row>
        <row r="875">
          <cell r="A875">
            <v>1175435</v>
          </cell>
        </row>
        <row r="876">
          <cell r="A876">
            <v>945473</v>
          </cell>
        </row>
        <row r="877">
          <cell r="A877">
            <v>1114974</v>
          </cell>
        </row>
        <row r="878">
          <cell r="A878">
            <v>710528</v>
          </cell>
        </row>
        <row r="879">
          <cell r="A879">
            <v>1007750</v>
          </cell>
        </row>
        <row r="880">
          <cell r="A880">
            <v>957317</v>
          </cell>
        </row>
        <row r="881">
          <cell r="A881">
            <v>760531</v>
          </cell>
        </row>
        <row r="882">
          <cell r="A882">
            <v>1102188</v>
          </cell>
        </row>
        <row r="883">
          <cell r="A883">
            <v>1008177</v>
          </cell>
        </row>
        <row r="884">
          <cell r="A884">
            <v>1045059</v>
          </cell>
        </row>
        <row r="885">
          <cell r="A885">
            <v>1012091</v>
          </cell>
        </row>
        <row r="886">
          <cell r="A886">
            <v>1193190</v>
          </cell>
        </row>
        <row r="887">
          <cell r="A887">
            <v>1247827</v>
          </cell>
        </row>
        <row r="888">
          <cell r="A888">
            <v>962044</v>
          </cell>
        </row>
        <row r="889">
          <cell r="A889">
            <v>720388</v>
          </cell>
        </row>
        <row r="890">
          <cell r="A890">
            <v>4126372</v>
          </cell>
        </row>
        <row r="891">
          <cell r="A891">
            <v>1000036</v>
          </cell>
        </row>
        <row r="892">
          <cell r="A892">
            <v>639302</v>
          </cell>
        </row>
        <row r="893">
          <cell r="A893">
            <v>963330</v>
          </cell>
        </row>
        <row r="894">
          <cell r="A894">
            <v>964523</v>
          </cell>
        </row>
        <row r="895">
          <cell r="A895">
            <v>1092827</v>
          </cell>
        </row>
        <row r="896">
          <cell r="A896">
            <v>1171088</v>
          </cell>
        </row>
        <row r="897">
          <cell r="A897">
            <v>5084126</v>
          </cell>
          <cell r="G897" t="str">
            <v>RSA0335003</v>
          </cell>
        </row>
        <row r="898">
          <cell r="A898">
            <v>734125</v>
          </cell>
        </row>
        <row r="899">
          <cell r="A899">
            <v>681941</v>
          </cell>
        </row>
        <row r="900">
          <cell r="A900">
            <v>807444</v>
          </cell>
        </row>
        <row r="901">
          <cell r="A901">
            <v>1184063</v>
          </cell>
        </row>
        <row r="902">
          <cell r="A902">
            <v>1192564</v>
          </cell>
        </row>
        <row r="903">
          <cell r="A903">
            <v>942671</v>
          </cell>
        </row>
        <row r="904">
          <cell r="A904">
            <v>1132499</v>
          </cell>
        </row>
        <row r="905">
          <cell r="A905">
            <v>911854</v>
          </cell>
        </row>
        <row r="906">
          <cell r="A906">
            <v>1005302</v>
          </cell>
        </row>
        <row r="907">
          <cell r="A907">
            <v>1213435</v>
          </cell>
        </row>
        <row r="908">
          <cell r="A908">
            <v>1104772</v>
          </cell>
        </row>
        <row r="909">
          <cell r="A909">
            <v>765477</v>
          </cell>
        </row>
        <row r="910">
          <cell r="A910">
            <v>1116413</v>
          </cell>
        </row>
        <row r="911">
          <cell r="A911">
            <v>753633</v>
          </cell>
        </row>
        <row r="912">
          <cell r="A912">
            <v>1153085</v>
          </cell>
        </row>
        <row r="913">
          <cell r="A913">
            <v>1028268</v>
          </cell>
        </row>
        <row r="914">
          <cell r="A914">
            <v>921047</v>
          </cell>
          <cell r="G914" t="str">
            <v>RSA0029813</v>
          </cell>
        </row>
        <row r="915">
          <cell r="A915">
            <v>1208522</v>
          </cell>
        </row>
        <row r="916">
          <cell r="A916">
            <v>1007312</v>
          </cell>
        </row>
        <row r="917">
          <cell r="A917">
            <v>1174478</v>
          </cell>
        </row>
        <row r="918">
          <cell r="A918">
            <v>1224569</v>
          </cell>
        </row>
        <row r="919">
          <cell r="A919">
            <v>652363</v>
          </cell>
        </row>
        <row r="920">
          <cell r="A920">
            <v>3847652</v>
          </cell>
          <cell r="G920" t="str">
            <v>RSA0158686</v>
          </cell>
        </row>
        <row r="921">
          <cell r="A921">
            <v>1219161</v>
          </cell>
        </row>
        <row r="922">
          <cell r="A922">
            <v>1163065</v>
          </cell>
        </row>
        <row r="923">
          <cell r="A923">
            <v>978189</v>
          </cell>
        </row>
        <row r="924">
          <cell r="A924">
            <v>1097620</v>
          </cell>
          <cell r="G924" t="str">
            <v>RSA0051704</v>
          </cell>
        </row>
        <row r="925">
          <cell r="A925">
            <v>720189</v>
          </cell>
        </row>
        <row r="926">
          <cell r="A926">
            <v>1032722</v>
          </cell>
          <cell r="G926" t="str">
            <v>RSA0077525</v>
          </cell>
        </row>
        <row r="927">
          <cell r="A927">
            <v>712539</v>
          </cell>
        </row>
        <row r="928">
          <cell r="A928">
            <v>863673</v>
          </cell>
        </row>
        <row r="929">
          <cell r="A929">
            <v>1064654</v>
          </cell>
        </row>
        <row r="930">
          <cell r="A930">
            <v>1145586</v>
          </cell>
        </row>
        <row r="931">
          <cell r="A931">
            <v>783353</v>
          </cell>
          <cell r="G931" t="str">
            <v>RSA0064525</v>
          </cell>
        </row>
        <row r="932">
          <cell r="A932">
            <v>1194214</v>
          </cell>
        </row>
        <row r="933">
          <cell r="A933">
            <v>1049270</v>
          </cell>
        </row>
        <row r="934">
          <cell r="A934">
            <v>1177175</v>
          </cell>
        </row>
        <row r="935">
          <cell r="A935">
            <v>1135332</v>
          </cell>
        </row>
        <row r="936">
          <cell r="A936">
            <v>931379</v>
          </cell>
        </row>
        <row r="937">
          <cell r="A937">
            <v>1220864</v>
          </cell>
        </row>
        <row r="938">
          <cell r="A938">
            <v>1023894</v>
          </cell>
        </row>
        <row r="939">
          <cell r="A939">
            <v>1095891</v>
          </cell>
        </row>
        <row r="940">
          <cell r="A940">
            <v>3791446</v>
          </cell>
          <cell r="G940" t="str">
            <v>RSA0113701</v>
          </cell>
        </row>
        <row r="941">
          <cell r="A941">
            <v>1209922</v>
          </cell>
          <cell r="G941" t="str">
            <v>RSA0056287</v>
          </cell>
        </row>
        <row r="942">
          <cell r="A942">
            <v>1019723</v>
          </cell>
        </row>
        <row r="943">
          <cell r="A943">
            <v>1005483</v>
          </cell>
        </row>
        <row r="944">
          <cell r="A944">
            <v>742860</v>
          </cell>
          <cell r="G944" t="str">
            <v>RSA0154111</v>
          </cell>
        </row>
        <row r="945">
          <cell r="A945">
            <v>1142685</v>
          </cell>
        </row>
        <row r="946">
          <cell r="A946">
            <v>706113</v>
          </cell>
        </row>
        <row r="947">
          <cell r="A947">
            <v>1133685</v>
          </cell>
        </row>
        <row r="948">
          <cell r="A948">
            <v>1177657</v>
          </cell>
        </row>
        <row r="949">
          <cell r="A949">
            <v>708215</v>
          </cell>
        </row>
        <row r="950">
          <cell r="A950">
            <v>1211305</v>
          </cell>
        </row>
        <row r="951">
          <cell r="A951">
            <v>929206</v>
          </cell>
        </row>
        <row r="952">
          <cell r="A952">
            <v>1047487</v>
          </cell>
        </row>
        <row r="953">
          <cell r="A953">
            <v>1123184</v>
          </cell>
        </row>
        <row r="954">
          <cell r="A954">
            <v>778436</v>
          </cell>
          <cell r="G954" t="str">
            <v>RSA0023267</v>
          </cell>
        </row>
        <row r="955">
          <cell r="A955">
            <v>1146969</v>
          </cell>
        </row>
        <row r="956">
          <cell r="A956">
            <v>1092848</v>
          </cell>
        </row>
        <row r="957">
          <cell r="A957">
            <v>1109834</v>
          </cell>
        </row>
        <row r="958">
          <cell r="A958">
            <v>1038859</v>
          </cell>
        </row>
        <row r="959">
          <cell r="A959">
            <v>1079969</v>
          </cell>
        </row>
        <row r="960">
          <cell r="A960">
            <v>979678</v>
          </cell>
          <cell r="G960" t="str">
            <v>RSA0034861</v>
          </cell>
        </row>
        <row r="961">
          <cell r="A961">
            <v>729147</v>
          </cell>
        </row>
        <row r="962">
          <cell r="A962">
            <v>962108</v>
          </cell>
        </row>
        <row r="963">
          <cell r="A963">
            <v>1079274</v>
          </cell>
        </row>
        <row r="964">
          <cell r="A964">
            <v>1147528</v>
          </cell>
        </row>
        <row r="965">
          <cell r="A965">
            <v>943444</v>
          </cell>
          <cell r="G965" t="str">
            <v>RSA0085044</v>
          </cell>
        </row>
        <row r="966">
          <cell r="A966">
            <v>902357</v>
          </cell>
        </row>
        <row r="967">
          <cell r="A967">
            <v>1087030</v>
          </cell>
          <cell r="G967" t="str">
            <v>RSA0045291</v>
          </cell>
        </row>
        <row r="968">
          <cell r="A968">
            <v>763659</v>
          </cell>
          <cell r="G968" t="str">
            <v>RSA0049509</v>
          </cell>
        </row>
        <row r="969">
          <cell r="A969">
            <v>1202028</v>
          </cell>
          <cell r="G969" t="str">
            <v>RSA0049510</v>
          </cell>
        </row>
        <row r="970">
          <cell r="A970">
            <v>1142753</v>
          </cell>
          <cell r="G970" t="str">
            <v>RSA0046885</v>
          </cell>
        </row>
        <row r="971">
          <cell r="A971">
            <v>1089689</v>
          </cell>
          <cell r="G971" t="str">
            <v>RSA0045286</v>
          </cell>
        </row>
        <row r="972">
          <cell r="A972">
            <v>637694</v>
          </cell>
          <cell r="G972" t="str">
            <v>RSA0036812</v>
          </cell>
        </row>
        <row r="973">
          <cell r="A973">
            <v>645300</v>
          </cell>
        </row>
        <row r="974">
          <cell r="A974">
            <v>1160373</v>
          </cell>
        </row>
        <row r="975">
          <cell r="A975">
            <v>1143465</v>
          </cell>
        </row>
        <row r="976">
          <cell r="A976">
            <v>1062233</v>
          </cell>
        </row>
        <row r="977">
          <cell r="A977">
            <v>981037</v>
          </cell>
        </row>
        <row r="978">
          <cell r="A978">
            <v>1186667</v>
          </cell>
        </row>
        <row r="979">
          <cell r="A979">
            <v>696481</v>
          </cell>
        </row>
        <row r="980">
          <cell r="A980">
            <v>711677</v>
          </cell>
        </row>
        <row r="981">
          <cell r="A981">
            <v>936672</v>
          </cell>
        </row>
        <row r="982">
          <cell r="A982">
            <v>702128</v>
          </cell>
        </row>
        <row r="983">
          <cell r="A983">
            <v>1213517</v>
          </cell>
        </row>
        <row r="984">
          <cell r="A984">
            <v>969955</v>
          </cell>
        </row>
        <row r="985">
          <cell r="A985">
            <v>1172887</v>
          </cell>
        </row>
        <row r="986">
          <cell r="A986">
            <v>924148</v>
          </cell>
        </row>
        <row r="987">
          <cell r="A987">
            <v>970742</v>
          </cell>
        </row>
        <row r="988">
          <cell r="A988">
            <v>987958</v>
          </cell>
        </row>
        <row r="989">
          <cell r="A989">
            <v>1042728</v>
          </cell>
        </row>
        <row r="990">
          <cell r="A990">
            <v>716024</v>
          </cell>
        </row>
        <row r="991">
          <cell r="A991">
            <v>736948</v>
          </cell>
        </row>
        <row r="992">
          <cell r="A992">
            <v>706792</v>
          </cell>
        </row>
        <row r="993">
          <cell r="A993">
            <v>1000363</v>
          </cell>
          <cell r="G993" t="str">
            <v>RSA0063036</v>
          </cell>
        </row>
        <row r="994">
          <cell r="A994">
            <v>5778835</v>
          </cell>
          <cell r="G994" t="str">
            <v>RSA0503939</v>
          </cell>
        </row>
        <row r="995">
          <cell r="A995">
            <v>3941717</v>
          </cell>
          <cell r="G995" t="str">
            <v>RSA0171232</v>
          </cell>
        </row>
        <row r="996">
          <cell r="A996">
            <v>1235238</v>
          </cell>
        </row>
        <row r="997">
          <cell r="A997">
            <v>1086800</v>
          </cell>
        </row>
        <row r="998">
          <cell r="A998">
            <v>899090</v>
          </cell>
        </row>
        <row r="999">
          <cell r="A999">
            <v>668312</v>
          </cell>
        </row>
        <row r="1000">
          <cell r="A1000">
            <v>645142</v>
          </cell>
        </row>
        <row r="1001">
          <cell r="A1001">
            <v>824961</v>
          </cell>
        </row>
        <row r="1002">
          <cell r="A1002">
            <v>1088087</v>
          </cell>
          <cell r="G1002" t="str">
            <v>RSA0116328</v>
          </cell>
        </row>
        <row r="1003">
          <cell r="A1003">
            <v>1056531</v>
          </cell>
        </row>
        <row r="1004">
          <cell r="A1004">
            <v>974876</v>
          </cell>
        </row>
        <row r="1005">
          <cell r="A1005">
            <v>1156433</v>
          </cell>
        </row>
        <row r="1006">
          <cell r="A1006">
            <v>1249156</v>
          </cell>
        </row>
        <row r="1007">
          <cell r="A1007">
            <v>646907</v>
          </cell>
        </row>
        <row r="1008">
          <cell r="A1008">
            <v>1239382</v>
          </cell>
        </row>
        <row r="1009">
          <cell r="A1009">
            <v>977847</v>
          </cell>
        </row>
        <row r="1010">
          <cell r="A1010">
            <v>1024091</v>
          </cell>
        </row>
        <row r="1011">
          <cell r="A1011">
            <v>1201106</v>
          </cell>
        </row>
        <row r="1012">
          <cell r="A1012">
            <v>996141</v>
          </cell>
        </row>
        <row r="1013">
          <cell r="A1013">
            <v>1038144</v>
          </cell>
          <cell r="G1013" t="str">
            <v>RSA0088406</v>
          </cell>
        </row>
        <row r="1014">
          <cell r="A1014">
            <v>693888</v>
          </cell>
          <cell r="G1014" t="str">
            <v>RSA0081376</v>
          </cell>
        </row>
        <row r="1015">
          <cell r="A1015">
            <v>922570</v>
          </cell>
          <cell r="G1015" t="str">
            <v>RSA0081381</v>
          </cell>
        </row>
        <row r="1016">
          <cell r="A1016">
            <v>790470</v>
          </cell>
          <cell r="G1016" t="str">
            <v>RSA0041564</v>
          </cell>
        </row>
        <row r="1017">
          <cell r="A1017">
            <v>3840150</v>
          </cell>
          <cell r="G1017" t="str">
            <v>RSA0178047</v>
          </cell>
        </row>
        <row r="1018">
          <cell r="A1018">
            <v>950503</v>
          </cell>
          <cell r="G1018" t="str">
            <v>RSA0115435</v>
          </cell>
        </row>
        <row r="1019">
          <cell r="A1019">
            <v>3805929</v>
          </cell>
          <cell r="G1019" t="str">
            <v>RSA0141056</v>
          </cell>
        </row>
        <row r="1020">
          <cell r="A1020">
            <v>1191094</v>
          </cell>
          <cell r="G1020" t="str">
            <v>RSA0010464</v>
          </cell>
        </row>
        <row r="1021">
          <cell r="A1021">
            <v>1031022</v>
          </cell>
          <cell r="G1021" t="str">
            <v>RSA0061147</v>
          </cell>
        </row>
        <row r="1022">
          <cell r="A1022">
            <v>1002700</v>
          </cell>
          <cell r="G1022" t="str">
            <v>RSA0140267</v>
          </cell>
        </row>
        <row r="1023">
          <cell r="A1023">
            <v>3815086</v>
          </cell>
          <cell r="G1023" t="str">
            <v>RSA0150929</v>
          </cell>
        </row>
        <row r="1024">
          <cell r="A1024">
            <v>684420</v>
          </cell>
          <cell r="G1024" t="str">
            <v>RSA0117958</v>
          </cell>
        </row>
        <row r="1025">
          <cell r="A1025">
            <v>5800340</v>
          </cell>
          <cell r="G1025" t="str">
            <v>RSA0508289</v>
          </cell>
        </row>
        <row r="1026">
          <cell r="A1026">
            <v>5976409</v>
          </cell>
          <cell r="G1026" t="str">
            <v>RSA0577830</v>
          </cell>
        </row>
        <row r="1027">
          <cell r="A1027">
            <v>6026439</v>
          </cell>
          <cell r="G1027" t="str">
            <v>RSA0618917</v>
          </cell>
        </row>
        <row r="1028">
          <cell r="A1028">
            <v>73443</v>
          </cell>
          <cell r="G1028" t="str">
            <v>SBBG213811</v>
          </cell>
        </row>
        <row r="1029">
          <cell r="A1029">
            <v>108810</v>
          </cell>
          <cell r="G1029" t="str">
            <v>SBBG213812</v>
          </cell>
        </row>
        <row r="1030">
          <cell r="A1030">
            <v>87856</v>
          </cell>
          <cell r="G1030" t="str">
            <v>SBBG213810</v>
          </cell>
        </row>
        <row r="1031">
          <cell r="A1031">
            <v>98493</v>
          </cell>
          <cell r="G1031" t="str">
            <v>SBBG213814</v>
          </cell>
        </row>
        <row r="1032">
          <cell r="A1032">
            <v>76824</v>
          </cell>
          <cell r="G1032" t="str">
            <v>SBBG155403</v>
          </cell>
        </row>
        <row r="1033">
          <cell r="A1033">
            <v>98773</v>
          </cell>
          <cell r="G1033" t="str">
            <v>SBBG155404</v>
          </cell>
        </row>
        <row r="1034">
          <cell r="A1034">
            <v>137222</v>
          </cell>
          <cell r="G1034" t="str">
            <v>SBBG155411</v>
          </cell>
        </row>
        <row r="1035">
          <cell r="A1035">
            <v>59642</v>
          </cell>
          <cell r="G1035" t="str">
            <v>SBBG155402</v>
          </cell>
        </row>
        <row r="1036">
          <cell r="A1036">
            <v>132420</v>
          </cell>
          <cell r="G1036" t="str">
            <v>SBBG155410</v>
          </cell>
        </row>
        <row r="1037">
          <cell r="A1037">
            <v>148536</v>
          </cell>
          <cell r="G1037" t="str">
            <v>SBBG213813</v>
          </cell>
        </row>
        <row r="1038">
          <cell r="A1038">
            <v>92289</v>
          </cell>
          <cell r="G1038" t="str">
            <v>SBBG213815</v>
          </cell>
        </row>
        <row r="1039">
          <cell r="A1039">
            <v>62618</v>
          </cell>
          <cell r="G1039" t="str">
            <v>SBBG155406</v>
          </cell>
        </row>
        <row r="1040">
          <cell r="A1040">
            <v>2914773</v>
          </cell>
          <cell r="G1040" t="str">
            <v>SBBG156693</v>
          </cell>
        </row>
        <row r="1041">
          <cell r="A1041">
            <v>76563</v>
          </cell>
          <cell r="G1041" t="str">
            <v>SBBG155412</v>
          </cell>
        </row>
        <row r="1042">
          <cell r="A1042">
            <v>93254</v>
          </cell>
          <cell r="G1042" t="str">
            <v>SBBG155408</v>
          </cell>
        </row>
        <row r="1043">
          <cell r="A1043">
            <v>54960</v>
          </cell>
          <cell r="G1043" t="str">
            <v>SBBG155409</v>
          </cell>
        </row>
        <row r="1044">
          <cell r="A1044">
            <v>79994</v>
          </cell>
          <cell r="G1044" t="str">
            <v>SBBG155407</v>
          </cell>
        </row>
        <row r="1045">
          <cell r="A1045">
            <v>123572</v>
          </cell>
          <cell r="G1045" t="str">
            <v>SBBG155405</v>
          </cell>
        </row>
        <row r="1046">
          <cell r="A1046">
            <v>3945547</v>
          </cell>
        </row>
        <row r="1047">
          <cell r="A1047">
            <v>68153</v>
          </cell>
          <cell r="G1047" t="str">
            <v>SBBG155400</v>
          </cell>
        </row>
        <row r="1048">
          <cell r="A1048">
            <v>58230</v>
          </cell>
          <cell r="G1048" t="str">
            <v>SBBG155413</v>
          </cell>
        </row>
        <row r="1049">
          <cell r="A1049">
            <v>56682</v>
          </cell>
          <cell r="G1049" t="str">
            <v>SBBG155401</v>
          </cell>
        </row>
        <row r="1050">
          <cell r="A1050">
            <v>80367</v>
          </cell>
          <cell r="G1050" t="str">
            <v>SBBG213816</v>
          </cell>
        </row>
        <row r="1051">
          <cell r="A1051">
            <v>5967039</v>
          </cell>
          <cell r="G1051" t="str">
            <v>SBBG245291</v>
          </cell>
        </row>
        <row r="1052">
          <cell r="A1052">
            <v>84127</v>
          </cell>
          <cell r="G1052" t="str">
            <v>SBBG155399</v>
          </cell>
        </row>
        <row r="1053">
          <cell r="A1053">
            <v>131645</v>
          </cell>
          <cell r="G1053" t="str">
            <v>SBBG187496</v>
          </cell>
        </row>
        <row r="1054">
          <cell r="A1054">
            <v>141265</v>
          </cell>
          <cell r="G1054" t="str">
            <v>SBBG213823</v>
          </cell>
        </row>
        <row r="1055">
          <cell r="A1055">
            <v>83203</v>
          </cell>
          <cell r="G1055" t="str">
            <v>SBBG213838</v>
          </cell>
        </row>
        <row r="1056">
          <cell r="A1056">
            <v>49448</v>
          </cell>
          <cell r="G1056" t="str">
            <v>SBBG155536</v>
          </cell>
        </row>
        <row r="1057">
          <cell r="A1057">
            <v>144474</v>
          </cell>
          <cell r="G1057" t="str">
            <v>SBBG155531</v>
          </cell>
        </row>
        <row r="1058">
          <cell r="A1058">
            <v>90647</v>
          </cell>
          <cell r="G1058" t="str">
            <v>SBBG155533</v>
          </cell>
        </row>
        <row r="1059">
          <cell r="A1059">
            <v>65108</v>
          </cell>
          <cell r="G1059" t="str">
            <v>SBBG155527</v>
          </cell>
        </row>
        <row r="1060">
          <cell r="A1060">
            <v>75275</v>
          </cell>
          <cell r="G1060" t="str">
            <v>SBBG155532</v>
          </cell>
        </row>
        <row r="1061">
          <cell r="A1061">
            <v>89884</v>
          </cell>
          <cell r="G1061" t="str">
            <v>SBBG213826</v>
          </cell>
        </row>
        <row r="1062">
          <cell r="A1062">
            <v>36646</v>
          </cell>
          <cell r="G1062" t="str">
            <v>SBBG213820</v>
          </cell>
        </row>
        <row r="1063">
          <cell r="A1063">
            <v>49117</v>
          </cell>
          <cell r="G1063" t="str">
            <v>SBBG213827</v>
          </cell>
        </row>
        <row r="1064">
          <cell r="A1064">
            <v>110889</v>
          </cell>
          <cell r="G1064" t="str">
            <v>SBBG213835</v>
          </cell>
        </row>
        <row r="1065">
          <cell r="A1065">
            <v>61217</v>
          </cell>
          <cell r="G1065" t="str">
            <v>SBBG213824</v>
          </cell>
        </row>
        <row r="1066">
          <cell r="A1066">
            <v>130694</v>
          </cell>
          <cell r="G1066" t="str">
            <v>SBBG213821</v>
          </cell>
        </row>
        <row r="1067">
          <cell r="A1067">
            <v>107786</v>
          </cell>
          <cell r="G1067">
            <v>72200</v>
          </cell>
        </row>
        <row r="1068">
          <cell r="A1068">
            <v>47113</v>
          </cell>
          <cell r="G1068" t="str">
            <v>SBBG213834</v>
          </cell>
        </row>
        <row r="1069">
          <cell r="A1069">
            <v>116271</v>
          </cell>
          <cell r="G1069" t="str">
            <v>SBBG213825</v>
          </cell>
        </row>
        <row r="1070">
          <cell r="A1070">
            <v>43829</v>
          </cell>
          <cell r="G1070" t="str">
            <v>SBBG155537</v>
          </cell>
        </row>
        <row r="1071">
          <cell r="A1071">
            <v>95436</v>
          </cell>
          <cell r="G1071" t="str">
            <v>SBBG155524</v>
          </cell>
        </row>
        <row r="1072">
          <cell r="A1072">
            <v>121316</v>
          </cell>
          <cell r="G1072" t="str">
            <v>SBBG213837</v>
          </cell>
        </row>
        <row r="1073">
          <cell r="A1073">
            <v>57675</v>
          </cell>
          <cell r="G1073" t="str">
            <v>SBBG213833</v>
          </cell>
        </row>
        <row r="1074">
          <cell r="A1074">
            <v>114382</v>
          </cell>
          <cell r="G1074" t="str">
            <v>SBBG155528</v>
          </cell>
        </row>
        <row r="1075">
          <cell r="A1075">
            <v>136410</v>
          </cell>
          <cell r="G1075" t="str">
            <v>SBBG155529</v>
          </cell>
        </row>
        <row r="1076">
          <cell r="A1076">
            <v>158155</v>
          </cell>
          <cell r="G1076" t="str">
            <v>SBBG155530</v>
          </cell>
        </row>
        <row r="1077">
          <cell r="A1077">
            <v>123042</v>
          </cell>
          <cell r="G1077" t="str">
            <v>SBBG155538</v>
          </cell>
        </row>
        <row r="1078">
          <cell r="A1078">
            <v>55592</v>
          </cell>
          <cell r="G1078" t="str">
            <v>SBBG213847</v>
          </cell>
        </row>
        <row r="1079">
          <cell r="A1079">
            <v>106233</v>
          </cell>
          <cell r="G1079" t="str">
            <v>SBBG213830</v>
          </cell>
        </row>
        <row r="1080">
          <cell r="A1080">
            <v>128858</v>
          </cell>
          <cell r="G1080" t="str">
            <v>SBBG213829</v>
          </cell>
        </row>
        <row r="1081">
          <cell r="A1081">
            <v>55059</v>
          </cell>
          <cell r="G1081" t="str">
            <v>SBBG213842</v>
          </cell>
        </row>
        <row r="1082">
          <cell r="A1082">
            <v>92110</v>
          </cell>
          <cell r="G1082" t="str">
            <v>SBBG213841</v>
          </cell>
        </row>
        <row r="1083">
          <cell r="A1083">
            <v>79706</v>
          </cell>
          <cell r="G1083" t="str">
            <v>SBBG213828</v>
          </cell>
        </row>
        <row r="1084">
          <cell r="A1084">
            <v>106537</v>
          </cell>
          <cell r="G1084" t="str">
            <v>SBBG213844</v>
          </cell>
        </row>
        <row r="1085">
          <cell r="A1085">
            <v>45902</v>
          </cell>
          <cell r="G1085" t="str">
            <v>SBBG213836</v>
          </cell>
        </row>
        <row r="1086">
          <cell r="A1086">
            <v>48054</v>
          </cell>
          <cell r="G1086" t="str">
            <v>SBBG155526</v>
          </cell>
        </row>
        <row r="1087">
          <cell r="A1087">
            <v>152545</v>
          </cell>
          <cell r="G1087" t="str">
            <v>SBBG155535</v>
          </cell>
        </row>
        <row r="1088">
          <cell r="A1088">
            <v>91393</v>
          </cell>
          <cell r="G1088" t="str">
            <v>SBBG213822</v>
          </cell>
        </row>
        <row r="1089">
          <cell r="A1089">
            <v>52482</v>
          </cell>
          <cell r="G1089" t="str">
            <v>SBBG213832</v>
          </cell>
        </row>
        <row r="1090">
          <cell r="A1090">
            <v>33390</v>
          </cell>
          <cell r="G1090" t="str">
            <v>SBBG213840</v>
          </cell>
        </row>
        <row r="1091">
          <cell r="A1091">
            <v>58111</v>
          </cell>
          <cell r="G1091" t="str">
            <v>SBBG155540</v>
          </cell>
        </row>
        <row r="1092">
          <cell r="A1092">
            <v>44308</v>
          </cell>
          <cell r="G1092" t="str">
            <v>SBBG155534</v>
          </cell>
        </row>
        <row r="1093">
          <cell r="A1093">
            <v>132624</v>
          </cell>
          <cell r="G1093" t="str">
            <v>SBBG213843</v>
          </cell>
        </row>
        <row r="1094">
          <cell r="A1094">
            <v>152436</v>
          </cell>
          <cell r="G1094" t="str">
            <v>SBBG213851</v>
          </cell>
        </row>
        <row r="1095">
          <cell r="A1095">
            <v>55673</v>
          </cell>
          <cell r="G1095" t="str">
            <v>SBBG155525</v>
          </cell>
        </row>
        <row r="1096">
          <cell r="A1096">
            <v>36927</v>
          </cell>
          <cell r="G1096" t="str">
            <v>SBBG155539</v>
          </cell>
        </row>
        <row r="1097">
          <cell r="A1097">
            <v>150366</v>
          </cell>
          <cell r="G1097" t="str">
            <v>SBBG213831</v>
          </cell>
        </row>
        <row r="1098">
          <cell r="A1098">
            <v>63222</v>
          </cell>
          <cell r="G1098" t="str">
            <v>SBBG155541</v>
          </cell>
        </row>
        <row r="1099">
          <cell r="A1099">
            <v>122801</v>
          </cell>
          <cell r="G1099" t="str">
            <v>SBBG155542</v>
          </cell>
        </row>
        <row r="1100">
          <cell r="A1100">
            <v>76355</v>
          </cell>
          <cell r="G1100" t="str">
            <v>SBBG213818</v>
          </cell>
        </row>
        <row r="1101">
          <cell r="A1101">
            <v>84330</v>
          </cell>
          <cell r="G1101" t="str">
            <v>SBBG213817</v>
          </cell>
        </row>
        <row r="1102">
          <cell r="A1102">
            <v>4418728</v>
          </cell>
          <cell r="G1102" t="str">
            <v>SBBG204337</v>
          </cell>
        </row>
        <row r="1103">
          <cell r="A1103">
            <v>147598</v>
          </cell>
          <cell r="G1103" t="str">
            <v>SBBG213846</v>
          </cell>
        </row>
        <row r="1104">
          <cell r="A1104">
            <v>407313</v>
          </cell>
          <cell r="G1104" t="str">
            <v>SBBG213845</v>
          </cell>
        </row>
        <row r="1105">
          <cell r="A1105">
            <v>1430242</v>
          </cell>
          <cell r="G1105" t="str">
            <v>SBBG213819</v>
          </cell>
        </row>
        <row r="1106">
          <cell r="A1106">
            <v>81912</v>
          </cell>
          <cell r="G1106" t="str">
            <v>SBBG213849</v>
          </cell>
        </row>
        <row r="1107">
          <cell r="A1107">
            <v>95043</v>
          </cell>
          <cell r="G1107" t="str">
            <v>SBBG213848</v>
          </cell>
        </row>
        <row r="1108">
          <cell r="A1108">
            <v>124275</v>
          </cell>
          <cell r="G1108" t="str">
            <v>SBBG213850</v>
          </cell>
        </row>
        <row r="1109">
          <cell r="A1109">
            <v>3771777</v>
          </cell>
          <cell r="G1109" t="str">
            <v>SBBG174263</v>
          </cell>
        </row>
        <row r="1110">
          <cell r="A1110">
            <v>3656309</v>
          </cell>
        </row>
        <row r="1111">
          <cell r="A1111">
            <v>2264695</v>
          </cell>
          <cell r="G1111" t="str">
            <v>SBBG166103</v>
          </cell>
        </row>
        <row r="1112">
          <cell r="A1112">
            <v>4060635</v>
          </cell>
          <cell r="G1112" t="str">
            <v>SBBG230712</v>
          </cell>
        </row>
        <row r="1113">
          <cell r="A1113">
            <v>5540556</v>
          </cell>
          <cell r="G1113" t="str">
            <v>SBBG245233</v>
          </cell>
        </row>
        <row r="1114">
          <cell r="A1114">
            <v>5533146</v>
          </cell>
        </row>
        <row r="1115">
          <cell r="A1115">
            <v>5365196</v>
          </cell>
          <cell r="G1115" t="str">
            <v>SBBG244185</v>
          </cell>
        </row>
        <row r="1116">
          <cell r="A1116">
            <v>2914781</v>
          </cell>
          <cell r="G1116" t="str">
            <v>SBBG156685</v>
          </cell>
        </row>
        <row r="1117">
          <cell r="A1117">
            <v>3737681</v>
          </cell>
          <cell r="G1117" t="str">
            <v>SCFS5308</v>
          </cell>
        </row>
        <row r="1118">
          <cell r="A1118">
            <v>3737681</v>
          </cell>
          <cell r="G1118" t="str">
            <v>SD00062562</v>
          </cell>
        </row>
        <row r="1119">
          <cell r="A1119">
            <v>468972</v>
          </cell>
          <cell r="G1119" t="str">
            <v>SD00062564</v>
          </cell>
        </row>
        <row r="1120">
          <cell r="A1120">
            <v>468976</v>
          </cell>
          <cell r="G1120" t="str">
            <v>SD00062565</v>
          </cell>
        </row>
        <row r="1121">
          <cell r="A1121">
            <v>468981</v>
          </cell>
          <cell r="G1121" t="str">
            <v>SD00062551</v>
          </cell>
        </row>
        <row r="1122">
          <cell r="A1122">
            <v>468978</v>
          </cell>
          <cell r="G1122" t="str">
            <v>SD00062552</v>
          </cell>
        </row>
        <row r="1123">
          <cell r="A1123">
            <v>468979</v>
          </cell>
          <cell r="G1123" t="str">
            <v>SD00061956</v>
          </cell>
        </row>
        <row r="1124">
          <cell r="A1124">
            <v>469010</v>
          </cell>
          <cell r="G1124" t="str">
            <v>SD00062563</v>
          </cell>
        </row>
        <row r="1125">
          <cell r="A1125">
            <v>469000</v>
          </cell>
          <cell r="G1125" t="str">
            <v>SD00062554</v>
          </cell>
        </row>
        <row r="1126">
          <cell r="A1126">
            <v>469021</v>
          </cell>
          <cell r="G1126" t="str">
            <v>SD00061955</v>
          </cell>
        </row>
        <row r="1127">
          <cell r="A1127">
            <v>469001</v>
          </cell>
          <cell r="G1127" t="str">
            <v>SD00013784</v>
          </cell>
        </row>
        <row r="1128">
          <cell r="A1128">
            <v>469004</v>
          </cell>
          <cell r="G1128" t="str">
            <v>SD00062568</v>
          </cell>
        </row>
        <row r="1129">
          <cell r="A1129">
            <v>469008</v>
          </cell>
          <cell r="G1129" t="str">
            <v>SD00062570</v>
          </cell>
        </row>
        <row r="1130">
          <cell r="A1130">
            <v>469009</v>
          </cell>
          <cell r="G1130" t="str">
            <v>SD00062569</v>
          </cell>
        </row>
        <row r="1131">
          <cell r="A1131">
            <v>469019</v>
          </cell>
          <cell r="G1131" t="str">
            <v>SD00060083</v>
          </cell>
        </row>
        <row r="1132">
          <cell r="A1132">
            <v>3620050</v>
          </cell>
          <cell r="G1132" t="str">
            <v>SD00025382</v>
          </cell>
        </row>
        <row r="1133">
          <cell r="A1133">
            <v>469020</v>
          </cell>
          <cell r="G1133" t="str">
            <v>SD00062566</v>
          </cell>
        </row>
        <row r="1134">
          <cell r="A1134">
            <v>469023</v>
          </cell>
          <cell r="G1134" t="str">
            <v>SD00062572</v>
          </cell>
        </row>
        <row r="1135">
          <cell r="A1135">
            <v>469166</v>
          </cell>
          <cell r="G1135" t="str">
            <v>SD00062567</v>
          </cell>
        </row>
        <row r="1136">
          <cell r="A1136">
            <v>469149</v>
          </cell>
          <cell r="G1136" t="str">
            <v>SD00062555</v>
          </cell>
        </row>
        <row r="1137">
          <cell r="A1137">
            <v>469058</v>
          </cell>
          <cell r="G1137" t="str">
            <v>SD00062561</v>
          </cell>
        </row>
        <row r="1138">
          <cell r="A1138">
            <v>469068</v>
          </cell>
          <cell r="G1138" t="str">
            <v>SD00062560</v>
          </cell>
        </row>
        <row r="1139">
          <cell r="A1139">
            <v>469069</v>
          </cell>
          <cell r="G1139" t="str">
            <v>SD00062559</v>
          </cell>
        </row>
        <row r="1140">
          <cell r="A1140">
            <v>469131</v>
          </cell>
          <cell r="G1140" t="str">
            <v>SD00062558</v>
          </cell>
        </row>
        <row r="1141">
          <cell r="A1141">
            <v>469148</v>
          </cell>
          <cell r="G1141" t="str">
            <v>SD00062571</v>
          </cell>
        </row>
        <row r="1142">
          <cell r="A1142">
            <v>469135</v>
          </cell>
          <cell r="G1142" t="str">
            <v>SD00062557</v>
          </cell>
        </row>
        <row r="1143">
          <cell r="A1143">
            <v>3774848</v>
          </cell>
          <cell r="G1143" t="str">
            <v>SD00033973</v>
          </cell>
        </row>
        <row r="1144">
          <cell r="A1144">
            <v>3774849</v>
          </cell>
          <cell r="G1144" t="str">
            <v>SD00033974</v>
          </cell>
        </row>
        <row r="1145">
          <cell r="A1145">
            <v>469143</v>
          </cell>
          <cell r="G1145" t="str">
            <v>SD00062556</v>
          </cell>
        </row>
        <row r="1146">
          <cell r="A1146">
            <v>469177</v>
          </cell>
          <cell r="G1146" t="str">
            <v>SD00062805</v>
          </cell>
        </row>
        <row r="1147">
          <cell r="A1147">
            <v>469158</v>
          </cell>
          <cell r="G1147" t="str">
            <v>SD00062804</v>
          </cell>
        </row>
        <row r="1148">
          <cell r="A1148">
            <v>3700295</v>
          </cell>
          <cell r="G1148" t="str">
            <v>SD00030201</v>
          </cell>
        </row>
        <row r="1149">
          <cell r="A1149">
            <v>3700298</v>
          </cell>
          <cell r="G1149" t="str">
            <v>SD00029906</v>
          </cell>
        </row>
        <row r="1150">
          <cell r="A1150">
            <v>3113067</v>
          </cell>
          <cell r="G1150" t="str">
            <v>SD00023691</v>
          </cell>
        </row>
        <row r="1151">
          <cell r="A1151">
            <v>468963</v>
          </cell>
          <cell r="G1151" t="str">
            <v>SD00062742</v>
          </cell>
        </row>
        <row r="1152">
          <cell r="A1152">
            <v>468962</v>
          </cell>
          <cell r="G1152" t="str">
            <v>SD00062741</v>
          </cell>
        </row>
        <row r="1153">
          <cell r="A1153">
            <v>468961</v>
          </cell>
          <cell r="G1153" t="str">
            <v>SD00062744</v>
          </cell>
        </row>
        <row r="1154">
          <cell r="A1154">
            <v>468999</v>
          </cell>
          <cell r="G1154" t="str">
            <v>SD00062711</v>
          </cell>
        </row>
        <row r="1155">
          <cell r="A1155">
            <v>468960</v>
          </cell>
          <cell r="G1155" t="str">
            <v>SD00062712</v>
          </cell>
        </row>
        <row r="1156">
          <cell r="A1156">
            <v>469011</v>
          </cell>
          <cell r="G1156" t="str">
            <v>SD00062802</v>
          </cell>
        </row>
        <row r="1157">
          <cell r="A1157">
            <v>468984</v>
          </cell>
          <cell r="G1157" t="str">
            <v>SD00062713</v>
          </cell>
        </row>
        <row r="1158">
          <cell r="A1158">
            <v>469005</v>
          </cell>
          <cell r="G1158" t="str">
            <v>SD00062739</v>
          </cell>
        </row>
        <row r="1159">
          <cell r="A1159">
            <v>468988</v>
          </cell>
          <cell r="G1159" t="str">
            <v>SD00062800</v>
          </cell>
        </row>
        <row r="1160">
          <cell r="A1160">
            <v>468996</v>
          </cell>
          <cell r="G1160" t="str">
            <v>SD00062799</v>
          </cell>
        </row>
        <row r="1161">
          <cell r="A1161">
            <v>468995</v>
          </cell>
          <cell r="G1161" t="str">
            <v>SD00062714</v>
          </cell>
        </row>
        <row r="1162">
          <cell r="A1162">
            <v>468994</v>
          </cell>
          <cell r="G1162" t="str">
            <v>SD00062794</v>
          </cell>
        </row>
        <row r="1163">
          <cell r="A1163">
            <v>468997</v>
          </cell>
          <cell r="G1163" t="str">
            <v>SD00062792</v>
          </cell>
        </row>
        <row r="1164">
          <cell r="A1164">
            <v>468998</v>
          </cell>
          <cell r="G1164" t="str">
            <v>SD00062791</v>
          </cell>
        </row>
        <row r="1165">
          <cell r="A1165">
            <v>468993</v>
          </cell>
          <cell r="G1165" t="str">
            <v>SD00062793</v>
          </cell>
        </row>
        <row r="1166">
          <cell r="A1166">
            <v>468990</v>
          </cell>
          <cell r="G1166" t="str">
            <v>SD00062715</v>
          </cell>
        </row>
        <row r="1167">
          <cell r="A1167">
            <v>468965</v>
          </cell>
          <cell r="G1167" t="str">
            <v>SD00062745</v>
          </cell>
        </row>
        <row r="1168">
          <cell r="A1168">
            <v>468964</v>
          </cell>
          <cell r="G1168" t="str">
            <v>SD00062718</v>
          </cell>
        </row>
        <row r="1169">
          <cell r="A1169">
            <v>468991</v>
          </cell>
          <cell r="G1169" t="str">
            <v>SD00062716</v>
          </cell>
        </row>
        <row r="1170">
          <cell r="A1170">
            <v>468989</v>
          </cell>
          <cell r="G1170" t="str">
            <v>SD00062736</v>
          </cell>
        </row>
        <row r="1171">
          <cell r="A1171">
            <v>469026</v>
          </cell>
          <cell r="G1171" t="str">
            <v>SD00062737</v>
          </cell>
        </row>
        <row r="1172">
          <cell r="A1172">
            <v>468992</v>
          </cell>
          <cell r="G1172" t="str">
            <v>SD00062717</v>
          </cell>
        </row>
        <row r="1173">
          <cell r="A1173">
            <v>468968</v>
          </cell>
          <cell r="G1173" t="str">
            <v>SD00062672</v>
          </cell>
        </row>
        <row r="1174">
          <cell r="A1174">
            <v>468967</v>
          </cell>
          <cell r="G1174" t="str">
            <v>SD00062673</v>
          </cell>
        </row>
        <row r="1175">
          <cell r="A1175">
            <v>468971</v>
          </cell>
          <cell r="G1175" t="str">
            <v>SD00062678</v>
          </cell>
        </row>
        <row r="1176">
          <cell r="A1176">
            <v>468966</v>
          </cell>
          <cell r="G1176" t="str">
            <v>SD00062754</v>
          </cell>
        </row>
        <row r="1177">
          <cell r="A1177">
            <v>468970</v>
          </cell>
          <cell r="G1177" t="str">
            <v>SD00062671</v>
          </cell>
        </row>
        <row r="1178">
          <cell r="A1178">
            <v>468975</v>
          </cell>
          <cell r="G1178" t="str">
            <v>SD00062674</v>
          </cell>
        </row>
        <row r="1179">
          <cell r="A1179">
            <v>468974</v>
          </cell>
          <cell r="G1179" t="str">
            <v>SD00062679</v>
          </cell>
        </row>
        <row r="1180">
          <cell r="A1180">
            <v>468982</v>
          </cell>
          <cell r="G1180" t="str">
            <v>SD00062675</v>
          </cell>
        </row>
        <row r="1181">
          <cell r="A1181">
            <v>468977</v>
          </cell>
          <cell r="G1181" t="str">
            <v>SD00062676</v>
          </cell>
        </row>
        <row r="1182">
          <cell r="A1182">
            <v>468980</v>
          </cell>
          <cell r="G1182" t="str">
            <v>SD00062677</v>
          </cell>
        </row>
        <row r="1183">
          <cell r="A1183">
            <v>468983</v>
          </cell>
          <cell r="G1183" t="str">
            <v>SD00062670</v>
          </cell>
        </row>
        <row r="1184">
          <cell r="A1184">
            <v>469016</v>
          </cell>
          <cell r="G1184" t="str">
            <v>SD00062789</v>
          </cell>
        </row>
        <row r="1185">
          <cell r="A1185">
            <v>468987</v>
          </cell>
          <cell r="G1185" t="str">
            <v>SD00062668</v>
          </cell>
        </row>
        <row r="1186">
          <cell r="A1186">
            <v>468985</v>
          </cell>
          <cell r="G1186" t="str">
            <v>SD00062743</v>
          </cell>
        </row>
        <row r="1187">
          <cell r="A1187">
            <v>468986</v>
          </cell>
          <cell r="G1187" t="str">
            <v>SD00062669</v>
          </cell>
        </row>
        <row r="1188">
          <cell r="A1188">
            <v>469012</v>
          </cell>
          <cell r="G1188" t="str">
            <v>SD00062667</v>
          </cell>
        </row>
        <row r="1189">
          <cell r="A1189">
            <v>5082640</v>
          </cell>
          <cell r="G1189" t="str">
            <v>SD00055687</v>
          </cell>
        </row>
        <row r="1190">
          <cell r="A1190">
            <v>469002</v>
          </cell>
          <cell r="G1190" t="str">
            <v>SD00062666</v>
          </cell>
        </row>
        <row r="1191">
          <cell r="A1191">
            <v>469003</v>
          </cell>
          <cell r="G1191" t="str">
            <v>SD00062801</v>
          </cell>
        </row>
        <row r="1192">
          <cell r="A1192">
            <v>469007</v>
          </cell>
          <cell r="G1192" t="str">
            <v>SD00062663</v>
          </cell>
        </row>
        <row r="1193">
          <cell r="A1193">
            <v>469006</v>
          </cell>
          <cell r="G1193" t="str">
            <v>SD00062664</v>
          </cell>
        </row>
        <row r="1194">
          <cell r="A1194">
            <v>469014</v>
          </cell>
          <cell r="G1194" t="str">
            <v>SD00062790</v>
          </cell>
        </row>
        <row r="1195">
          <cell r="A1195">
            <v>469013</v>
          </cell>
          <cell r="G1195" t="str">
            <v>SD00062665</v>
          </cell>
        </row>
        <row r="1196">
          <cell r="A1196">
            <v>469146</v>
          </cell>
          <cell r="G1196" t="str">
            <v>SD00062579</v>
          </cell>
        </row>
        <row r="1197">
          <cell r="A1197">
            <v>469015</v>
          </cell>
          <cell r="G1197" t="str">
            <v>SD00060084</v>
          </cell>
        </row>
        <row r="1198">
          <cell r="A1198">
            <v>469018</v>
          </cell>
          <cell r="G1198" t="str">
            <v>SD00062710</v>
          </cell>
        </row>
        <row r="1199">
          <cell r="A1199">
            <v>469037</v>
          </cell>
          <cell r="G1199" t="str">
            <v>SD00062658</v>
          </cell>
        </row>
        <row r="1200">
          <cell r="A1200">
            <v>469017</v>
          </cell>
          <cell r="G1200" t="str">
            <v>SD00062795</v>
          </cell>
        </row>
        <row r="1201">
          <cell r="A1201">
            <v>469036</v>
          </cell>
          <cell r="G1201" t="str">
            <v>SD00062659</v>
          </cell>
        </row>
        <row r="1202">
          <cell r="A1202">
            <v>469072</v>
          </cell>
          <cell r="G1202" t="str">
            <v>SD00062796</v>
          </cell>
        </row>
        <row r="1203">
          <cell r="A1203">
            <v>469029</v>
          </cell>
          <cell r="G1203" t="str">
            <v>SD00062797</v>
          </cell>
        </row>
        <row r="1204">
          <cell r="A1204">
            <v>4665583</v>
          </cell>
          <cell r="G1204" t="str">
            <v>SD00054026</v>
          </cell>
        </row>
        <row r="1205">
          <cell r="A1205">
            <v>3700297</v>
          </cell>
          <cell r="G1205" t="str">
            <v>SD00030203</v>
          </cell>
        </row>
        <row r="1206">
          <cell r="A1206">
            <v>4665582</v>
          </cell>
          <cell r="G1206" t="str">
            <v>SD00054025</v>
          </cell>
        </row>
        <row r="1207">
          <cell r="A1207">
            <v>469022</v>
          </cell>
          <cell r="G1207" t="str">
            <v>SD00062798</v>
          </cell>
        </row>
        <row r="1208">
          <cell r="A1208">
            <v>469024</v>
          </cell>
          <cell r="G1208" t="str">
            <v>SD00062740</v>
          </cell>
        </row>
        <row r="1209">
          <cell r="A1209">
            <v>469167</v>
          </cell>
          <cell r="G1209" t="str">
            <v>SD00062807</v>
          </cell>
        </row>
        <row r="1210">
          <cell r="A1210">
            <v>469027</v>
          </cell>
          <cell r="G1210" t="str">
            <v>SD00062662</v>
          </cell>
        </row>
        <row r="1211">
          <cell r="A1211">
            <v>469028</v>
          </cell>
          <cell r="G1211" t="str">
            <v>SD00062768</v>
          </cell>
        </row>
        <row r="1212">
          <cell r="A1212">
            <v>469025</v>
          </cell>
          <cell r="G1212" t="str">
            <v>SD00062738</v>
          </cell>
        </row>
        <row r="1213">
          <cell r="A1213">
            <v>469168</v>
          </cell>
          <cell r="G1213" t="str">
            <v>SD00062806</v>
          </cell>
        </row>
        <row r="1214">
          <cell r="A1214">
            <v>469053</v>
          </cell>
          <cell r="G1214" t="str">
            <v>SD00062753</v>
          </cell>
        </row>
        <row r="1215">
          <cell r="A1215">
            <v>469038</v>
          </cell>
          <cell r="G1215" t="str">
            <v>SD00062686</v>
          </cell>
        </row>
        <row r="1216">
          <cell r="A1216">
            <v>469030</v>
          </cell>
          <cell r="G1216" t="str">
            <v>SD00062661</v>
          </cell>
        </row>
        <row r="1217">
          <cell r="A1217">
            <v>469039</v>
          </cell>
          <cell r="G1217" t="str">
            <v>SD00062763</v>
          </cell>
        </row>
        <row r="1218">
          <cell r="A1218">
            <v>469031</v>
          </cell>
          <cell r="G1218" t="str">
            <v>SD00062660</v>
          </cell>
        </row>
        <row r="1219">
          <cell r="A1219">
            <v>469040</v>
          </cell>
          <cell r="G1219" t="str">
            <v>SD00062685</v>
          </cell>
        </row>
        <row r="1220">
          <cell r="A1220">
            <v>469059</v>
          </cell>
          <cell r="G1220" t="str">
            <v>SD00062755</v>
          </cell>
        </row>
        <row r="1221">
          <cell r="A1221">
            <v>469033</v>
          </cell>
          <cell r="G1221" t="str">
            <v>SD00062766</v>
          </cell>
        </row>
        <row r="1222">
          <cell r="A1222">
            <v>469055</v>
          </cell>
          <cell r="G1222" t="str">
            <v>SD00062752</v>
          </cell>
        </row>
        <row r="1223">
          <cell r="A1223">
            <v>469032</v>
          </cell>
          <cell r="G1223" t="str">
            <v>SD00062767</v>
          </cell>
        </row>
        <row r="1224">
          <cell r="A1224">
            <v>469035</v>
          </cell>
          <cell r="G1224" t="str">
            <v>SD00062765</v>
          </cell>
        </row>
        <row r="1225">
          <cell r="A1225">
            <v>469034</v>
          </cell>
          <cell r="G1225" t="str">
            <v>SD00062764</v>
          </cell>
        </row>
        <row r="1226">
          <cell r="A1226">
            <v>469047</v>
          </cell>
          <cell r="G1226" t="str">
            <v>SD00062756</v>
          </cell>
        </row>
        <row r="1227">
          <cell r="A1227">
            <v>469062</v>
          </cell>
          <cell r="G1227" t="str">
            <v>SD00062590</v>
          </cell>
        </row>
        <row r="1228">
          <cell r="A1228">
            <v>469078</v>
          </cell>
          <cell r="G1228" t="str">
            <v>SD00062639</v>
          </cell>
        </row>
        <row r="1229">
          <cell r="A1229">
            <v>469073</v>
          </cell>
          <cell r="G1229" t="str">
            <v>SD00062640</v>
          </cell>
        </row>
        <row r="1230">
          <cell r="A1230">
            <v>469041</v>
          </cell>
          <cell r="G1230" t="str">
            <v>SD00062580</v>
          </cell>
        </row>
        <row r="1231">
          <cell r="A1231">
            <v>469066</v>
          </cell>
          <cell r="G1231" t="str">
            <v>SD00062647</v>
          </cell>
        </row>
        <row r="1232">
          <cell r="A1232">
            <v>469095</v>
          </cell>
          <cell r="G1232" t="str">
            <v>SD00062585</v>
          </cell>
        </row>
        <row r="1233">
          <cell r="A1233">
            <v>469065</v>
          </cell>
          <cell r="G1233" t="str">
            <v>SD00062735</v>
          </cell>
        </row>
        <row r="1234">
          <cell r="A1234">
            <v>469044</v>
          </cell>
          <cell r="G1234" t="str">
            <v>SD00062760</v>
          </cell>
        </row>
        <row r="1235">
          <cell r="A1235">
            <v>469043</v>
          </cell>
          <cell r="G1235" t="str">
            <v>SD00062761</v>
          </cell>
        </row>
        <row r="1236">
          <cell r="A1236">
            <v>469042</v>
          </cell>
          <cell r="G1236" t="str">
            <v>SD00062762</v>
          </cell>
        </row>
        <row r="1237">
          <cell r="A1237">
            <v>469079</v>
          </cell>
          <cell r="G1237" t="str">
            <v>SD00062691</v>
          </cell>
        </row>
        <row r="1238">
          <cell r="A1238">
            <v>469070</v>
          </cell>
          <cell r="G1238" t="str">
            <v>SD00062646</v>
          </cell>
        </row>
        <row r="1239">
          <cell r="A1239">
            <v>469063</v>
          </cell>
          <cell r="G1239" t="str">
            <v>SD00062589</v>
          </cell>
        </row>
        <row r="1240">
          <cell r="A1240">
            <v>469064</v>
          </cell>
          <cell r="G1240" t="str">
            <v>SD00060503</v>
          </cell>
        </row>
        <row r="1241">
          <cell r="A1241">
            <v>469085</v>
          </cell>
          <cell r="G1241" t="str">
            <v>SD00062638</v>
          </cell>
        </row>
        <row r="1242">
          <cell r="A1242">
            <v>469045</v>
          </cell>
          <cell r="G1242" t="str">
            <v>SD00062758</v>
          </cell>
        </row>
        <row r="1243">
          <cell r="A1243">
            <v>469057</v>
          </cell>
          <cell r="G1243" t="str">
            <v>SD00062750</v>
          </cell>
        </row>
        <row r="1244">
          <cell r="A1244">
            <v>469087</v>
          </cell>
          <cell r="G1244" t="str">
            <v>SD00062587</v>
          </cell>
        </row>
        <row r="1245">
          <cell r="A1245">
            <v>469060</v>
          </cell>
          <cell r="G1245" t="str">
            <v>SD00062748</v>
          </cell>
        </row>
        <row r="1246">
          <cell r="A1246">
            <v>469048</v>
          </cell>
          <cell r="G1246" t="str">
            <v>SD00062757</v>
          </cell>
        </row>
        <row r="1247">
          <cell r="A1247">
            <v>469076</v>
          </cell>
          <cell r="G1247" t="str">
            <v>SD00062642</v>
          </cell>
        </row>
        <row r="1248">
          <cell r="A1248">
            <v>469050</v>
          </cell>
          <cell r="G1248" t="str">
            <v>SD00062709</v>
          </cell>
        </row>
        <row r="1249">
          <cell r="A1249">
            <v>469074</v>
          </cell>
          <cell r="G1249" t="str">
            <v>SD00062643</v>
          </cell>
        </row>
        <row r="1250">
          <cell r="A1250">
            <v>469049</v>
          </cell>
          <cell r="G1250" t="str">
            <v>SD00062684</v>
          </cell>
        </row>
        <row r="1251">
          <cell r="A1251">
            <v>469067</v>
          </cell>
          <cell r="G1251" t="str">
            <v>SD00062648</v>
          </cell>
        </row>
        <row r="1252">
          <cell r="A1252">
            <v>469056</v>
          </cell>
          <cell r="G1252" t="str">
            <v>SD00062751</v>
          </cell>
        </row>
        <row r="1253">
          <cell r="A1253">
            <v>469132</v>
          </cell>
          <cell r="G1253" t="str">
            <v>SD00062681</v>
          </cell>
        </row>
        <row r="1254">
          <cell r="A1254">
            <v>469054</v>
          </cell>
          <cell r="G1254" t="str">
            <v>SD00062749</v>
          </cell>
        </row>
        <row r="1255">
          <cell r="A1255">
            <v>469046</v>
          </cell>
          <cell r="G1255" t="str">
            <v>SD00062759</v>
          </cell>
        </row>
        <row r="1256">
          <cell r="A1256">
            <v>469102</v>
          </cell>
          <cell r="G1256" t="str">
            <v>SD00062632</v>
          </cell>
        </row>
        <row r="1257">
          <cell r="A1257">
            <v>469052</v>
          </cell>
          <cell r="G1257" t="str">
            <v>SD00062746</v>
          </cell>
        </row>
        <row r="1258">
          <cell r="A1258">
            <v>469061</v>
          </cell>
          <cell r="G1258" t="str">
            <v>SD00062747</v>
          </cell>
        </row>
        <row r="1259">
          <cell r="A1259">
            <v>469075</v>
          </cell>
          <cell r="G1259" t="str">
            <v>SD00062644</v>
          </cell>
        </row>
        <row r="1260">
          <cell r="A1260">
            <v>469112</v>
          </cell>
          <cell r="G1260" t="str">
            <v>SD00062732</v>
          </cell>
        </row>
        <row r="1261">
          <cell r="A1261">
            <v>469077</v>
          </cell>
          <cell r="G1261" t="str">
            <v>SD00062641</v>
          </cell>
        </row>
        <row r="1262">
          <cell r="A1262">
            <v>469071</v>
          </cell>
          <cell r="G1262" t="str">
            <v>SD00062645</v>
          </cell>
        </row>
        <row r="1263">
          <cell r="A1263">
            <v>469051</v>
          </cell>
          <cell r="G1263" t="str">
            <v>SD00062708</v>
          </cell>
        </row>
        <row r="1264">
          <cell r="A1264">
            <v>469094</v>
          </cell>
          <cell r="G1264" t="str">
            <v>SD00062586</v>
          </cell>
        </row>
        <row r="1265">
          <cell r="A1265">
            <v>469091</v>
          </cell>
          <cell r="G1265" t="str">
            <v>SD00062720</v>
          </cell>
        </row>
        <row r="1266">
          <cell r="A1266">
            <v>469115</v>
          </cell>
          <cell r="G1266" t="str">
            <v>SD00062731</v>
          </cell>
        </row>
        <row r="1267">
          <cell r="A1267">
            <v>469105</v>
          </cell>
          <cell r="G1267" t="str">
            <v>SD00062729</v>
          </cell>
        </row>
        <row r="1268">
          <cell r="A1268">
            <v>469117</v>
          </cell>
          <cell r="G1268" t="str">
            <v>SD00062727</v>
          </cell>
        </row>
        <row r="1269">
          <cell r="A1269">
            <v>469092</v>
          </cell>
          <cell r="G1269" t="str">
            <v>SD00062719</v>
          </cell>
        </row>
        <row r="1270">
          <cell r="A1270">
            <v>469090</v>
          </cell>
          <cell r="G1270" t="str">
            <v>SD00062688</v>
          </cell>
        </row>
        <row r="1271">
          <cell r="A1271">
            <v>469172</v>
          </cell>
          <cell r="G1271" t="str">
            <v>SD00062778</v>
          </cell>
        </row>
        <row r="1272">
          <cell r="A1272">
            <v>469080</v>
          </cell>
          <cell r="G1272" t="str">
            <v>SD00062692</v>
          </cell>
        </row>
        <row r="1273">
          <cell r="A1273">
            <v>469089</v>
          </cell>
          <cell r="G1273" t="str">
            <v>SD00062689</v>
          </cell>
        </row>
        <row r="1274">
          <cell r="A1274">
            <v>469082</v>
          </cell>
          <cell r="G1274" t="str">
            <v>SD00062693</v>
          </cell>
        </row>
        <row r="1275">
          <cell r="A1275">
            <v>469101</v>
          </cell>
          <cell r="G1275" t="str">
            <v>SD00062635</v>
          </cell>
        </row>
        <row r="1276">
          <cell r="A1276">
            <v>469081</v>
          </cell>
          <cell r="G1276" t="str">
            <v>SD00062687</v>
          </cell>
        </row>
        <row r="1277">
          <cell r="A1277">
            <v>469104</v>
          </cell>
          <cell r="G1277" t="str">
            <v>SD00062785</v>
          </cell>
        </row>
        <row r="1278">
          <cell r="A1278">
            <v>469083</v>
          </cell>
          <cell r="G1278" t="str">
            <v>SD00062695</v>
          </cell>
        </row>
        <row r="1279">
          <cell r="A1279">
            <v>469084</v>
          </cell>
          <cell r="G1279" t="str">
            <v>SD00062694</v>
          </cell>
        </row>
        <row r="1280">
          <cell r="A1280">
            <v>469086</v>
          </cell>
          <cell r="G1280" t="str">
            <v>SD00062588</v>
          </cell>
        </row>
        <row r="1281">
          <cell r="A1281">
            <v>469096</v>
          </cell>
          <cell r="G1281" t="str">
            <v>SD00062584</v>
          </cell>
        </row>
        <row r="1282">
          <cell r="A1282">
            <v>469100</v>
          </cell>
          <cell r="G1282" t="str">
            <v>SD00062634</v>
          </cell>
        </row>
        <row r="1283">
          <cell r="A1283">
            <v>469093</v>
          </cell>
          <cell r="G1283" t="str">
            <v>SD00062721</v>
          </cell>
        </row>
        <row r="1284">
          <cell r="A1284">
            <v>469114</v>
          </cell>
          <cell r="G1284" t="str">
            <v>SD00062734</v>
          </cell>
        </row>
        <row r="1285">
          <cell r="A1285">
            <v>469088</v>
          </cell>
          <cell r="G1285" t="str">
            <v>SD00062690</v>
          </cell>
        </row>
        <row r="1286">
          <cell r="A1286">
            <v>469099</v>
          </cell>
          <cell r="G1286" t="str">
            <v>SD00062633</v>
          </cell>
        </row>
        <row r="1287">
          <cell r="A1287">
            <v>469126</v>
          </cell>
          <cell r="G1287" t="str">
            <v>SD00062682</v>
          </cell>
        </row>
        <row r="1288">
          <cell r="A1288">
            <v>469116</v>
          </cell>
          <cell r="G1288" t="str">
            <v>SD00062730</v>
          </cell>
        </row>
        <row r="1289">
          <cell r="A1289">
            <v>469111</v>
          </cell>
          <cell r="G1289" t="str">
            <v>SD00062628</v>
          </cell>
        </row>
        <row r="1290">
          <cell r="A1290">
            <v>469108</v>
          </cell>
          <cell r="G1290" t="str">
            <v>SD00062629</v>
          </cell>
        </row>
        <row r="1291">
          <cell r="A1291">
            <v>469118</v>
          </cell>
          <cell r="G1291" t="str">
            <v>SD00062728</v>
          </cell>
        </row>
        <row r="1292">
          <cell r="A1292">
            <v>469107</v>
          </cell>
          <cell r="G1292" t="str">
            <v>SD00062630</v>
          </cell>
        </row>
        <row r="1293">
          <cell r="A1293">
            <v>469120</v>
          </cell>
          <cell r="G1293" t="str">
            <v>SD00062581</v>
          </cell>
        </row>
        <row r="1294">
          <cell r="A1294">
            <v>469109</v>
          </cell>
          <cell r="G1294" t="str">
            <v>SD00062652</v>
          </cell>
        </row>
        <row r="1295">
          <cell r="A1295">
            <v>469113</v>
          </cell>
          <cell r="G1295" t="str">
            <v>SD00062733</v>
          </cell>
        </row>
        <row r="1296">
          <cell r="A1296">
            <v>469110</v>
          </cell>
          <cell r="G1296" t="str">
            <v>SD00062627</v>
          </cell>
        </row>
        <row r="1297">
          <cell r="A1297">
            <v>469129</v>
          </cell>
          <cell r="G1297" t="str">
            <v>SD00062655</v>
          </cell>
        </row>
        <row r="1298">
          <cell r="A1298">
            <v>469130</v>
          </cell>
          <cell r="G1298" t="str">
            <v>SD00062654</v>
          </cell>
        </row>
        <row r="1299">
          <cell r="A1299">
            <v>469125</v>
          </cell>
          <cell r="G1299" t="str">
            <v>SD00062683</v>
          </cell>
        </row>
        <row r="1300">
          <cell r="A1300">
            <v>469157</v>
          </cell>
          <cell r="G1300" t="str">
            <v>SD00062726</v>
          </cell>
        </row>
        <row r="1301">
          <cell r="A1301">
            <v>469103</v>
          </cell>
          <cell r="G1301" t="str">
            <v>SD00062631</v>
          </cell>
        </row>
        <row r="1302">
          <cell r="A1302">
            <v>469097</v>
          </cell>
          <cell r="G1302" t="str">
            <v>SD00062636</v>
          </cell>
        </row>
        <row r="1303">
          <cell r="A1303">
            <v>469106</v>
          </cell>
          <cell r="G1303" t="str">
            <v>SD00062786</v>
          </cell>
        </row>
        <row r="1304">
          <cell r="A1304">
            <v>469098</v>
          </cell>
          <cell r="G1304" t="str">
            <v>SD00062637</v>
          </cell>
        </row>
        <row r="1305">
          <cell r="A1305">
            <v>469121</v>
          </cell>
          <cell r="G1305" t="str">
            <v>SD00062651</v>
          </cell>
        </row>
        <row r="1306">
          <cell r="A1306">
            <v>469119</v>
          </cell>
          <cell r="G1306" t="str">
            <v>SD00062784</v>
          </cell>
        </row>
        <row r="1307">
          <cell r="A1307">
            <v>469124</v>
          </cell>
          <cell r="G1307" t="str">
            <v>SD00062787</v>
          </cell>
        </row>
        <row r="1308">
          <cell r="A1308">
            <v>469133</v>
          </cell>
          <cell r="G1308" t="str">
            <v>SD00062680</v>
          </cell>
        </row>
        <row r="1309">
          <cell r="A1309">
            <v>469134</v>
          </cell>
          <cell r="G1309" t="str">
            <v>SD00062777</v>
          </cell>
        </row>
        <row r="1310">
          <cell r="A1310">
            <v>469150</v>
          </cell>
          <cell r="G1310" t="str">
            <v>SD00062704</v>
          </cell>
        </row>
        <row r="1311">
          <cell r="A1311">
            <v>469127</v>
          </cell>
          <cell r="G1311" t="str">
            <v>SD00062657</v>
          </cell>
        </row>
        <row r="1312">
          <cell r="A1312">
            <v>469128</v>
          </cell>
          <cell r="G1312" t="str">
            <v>SD00062656</v>
          </cell>
        </row>
        <row r="1313">
          <cell r="A1313">
            <v>469122</v>
          </cell>
          <cell r="G1313" t="str">
            <v>SD00062582</v>
          </cell>
        </row>
        <row r="1314">
          <cell r="A1314">
            <v>469123</v>
          </cell>
          <cell r="G1314" t="str">
            <v>SD00062583</v>
          </cell>
        </row>
        <row r="1315">
          <cell r="A1315">
            <v>469170</v>
          </cell>
          <cell r="G1315" t="str">
            <v>SD00062780</v>
          </cell>
        </row>
        <row r="1316">
          <cell r="A1316">
            <v>469137</v>
          </cell>
          <cell r="G1316" t="str">
            <v>SD00062707</v>
          </cell>
        </row>
        <row r="1317">
          <cell r="A1317">
            <v>3700296</v>
          </cell>
          <cell r="G1317" t="str">
            <v>SD00030202</v>
          </cell>
        </row>
        <row r="1318">
          <cell r="A1318">
            <v>469161</v>
          </cell>
          <cell r="G1318" t="str">
            <v>SD00062700</v>
          </cell>
        </row>
        <row r="1319">
          <cell r="A1319">
            <v>469162</v>
          </cell>
          <cell r="G1319" t="str">
            <v>SD00062699</v>
          </cell>
        </row>
        <row r="1320">
          <cell r="A1320">
            <v>469151</v>
          </cell>
          <cell r="G1320" t="str">
            <v>SD00062705</v>
          </cell>
        </row>
        <row r="1321">
          <cell r="A1321">
            <v>469141</v>
          </cell>
          <cell r="G1321" t="str">
            <v>SD00062773</v>
          </cell>
        </row>
        <row r="1322">
          <cell r="A1322">
            <v>469142</v>
          </cell>
          <cell r="G1322" t="str">
            <v>SD00062772</v>
          </cell>
        </row>
        <row r="1323">
          <cell r="A1323">
            <v>469136</v>
          </cell>
          <cell r="G1323" t="str">
            <v>SD00062776</v>
          </cell>
        </row>
        <row r="1324">
          <cell r="A1324">
            <v>469174</v>
          </cell>
          <cell r="G1324" t="str">
            <v>SD00062723</v>
          </cell>
        </row>
        <row r="1325">
          <cell r="A1325">
            <v>469165</v>
          </cell>
          <cell r="G1325" t="str">
            <v>SD00062696</v>
          </cell>
        </row>
        <row r="1326">
          <cell r="A1326">
            <v>469139</v>
          </cell>
          <cell r="G1326" t="str">
            <v>SD00062706</v>
          </cell>
        </row>
        <row r="1327">
          <cell r="A1327">
            <v>469175</v>
          </cell>
          <cell r="G1327" t="str">
            <v>SD00062722</v>
          </cell>
        </row>
        <row r="1328">
          <cell r="A1328">
            <v>469164</v>
          </cell>
          <cell r="G1328" t="str">
            <v>SD00062697</v>
          </cell>
        </row>
        <row r="1329">
          <cell r="A1329">
            <v>469156</v>
          </cell>
          <cell r="G1329" t="str">
            <v>SD00062769</v>
          </cell>
        </row>
        <row r="1330">
          <cell r="A1330">
            <v>469163</v>
          </cell>
          <cell r="G1330" t="str">
            <v>SD00062698</v>
          </cell>
        </row>
        <row r="1331">
          <cell r="A1331">
            <v>469160</v>
          </cell>
          <cell r="G1331" t="str">
            <v>SD00062701</v>
          </cell>
        </row>
        <row r="1332">
          <cell r="A1332">
            <v>469173</v>
          </cell>
          <cell r="G1332" t="str">
            <v>SD00062724</v>
          </cell>
        </row>
        <row r="1333">
          <cell r="A1333">
            <v>469144</v>
          </cell>
          <cell r="G1333" t="str">
            <v>SD00062649</v>
          </cell>
        </row>
        <row r="1334">
          <cell r="A1334">
            <v>469138</v>
          </cell>
          <cell r="G1334" t="str">
            <v>SD00062775</v>
          </cell>
        </row>
        <row r="1335">
          <cell r="A1335">
            <v>469140</v>
          </cell>
          <cell r="G1335" t="str">
            <v>SD00062774</v>
          </cell>
        </row>
        <row r="1336">
          <cell r="A1336">
            <v>469145</v>
          </cell>
          <cell r="G1336" t="str">
            <v>SD00062653</v>
          </cell>
        </row>
        <row r="1337">
          <cell r="A1337">
            <v>469147</v>
          </cell>
          <cell r="G1337" t="str">
            <v>SD00062650</v>
          </cell>
        </row>
        <row r="1338">
          <cell r="A1338">
            <v>469169</v>
          </cell>
          <cell r="G1338" t="str">
            <v>SD00062781</v>
          </cell>
        </row>
        <row r="1339">
          <cell r="A1339">
            <v>469171</v>
          </cell>
          <cell r="G1339" t="str">
            <v>SD00062779</v>
          </cell>
        </row>
        <row r="1340">
          <cell r="A1340">
            <v>469153</v>
          </cell>
          <cell r="G1340" t="str">
            <v>SD00062703</v>
          </cell>
        </row>
        <row r="1341">
          <cell r="A1341">
            <v>469155</v>
          </cell>
          <cell r="G1341" t="str">
            <v>SD00062770</v>
          </cell>
        </row>
        <row r="1342">
          <cell r="A1342">
            <v>469152</v>
          </cell>
          <cell r="G1342" t="str">
            <v>SD00062702</v>
          </cell>
        </row>
        <row r="1343">
          <cell r="A1343">
            <v>469154</v>
          </cell>
          <cell r="G1343" t="str">
            <v>SD00062771</v>
          </cell>
        </row>
        <row r="1344">
          <cell r="A1344">
            <v>469178</v>
          </cell>
          <cell r="G1344" t="str">
            <v>SD00062803</v>
          </cell>
        </row>
        <row r="1345">
          <cell r="A1345">
            <v>469159</v>
          </cell>
          <cell r="G1345" t="str">
            <v>SD00062578</v>
          </cell>
        </row>
        <row r="1346">
          <cell r="A1346">
            <v>469179</v>
          </cell>
          <cell r="G1346" t="str">
            <v>SD00058219</v>
          </cell>
        </row>
        <row r="1347">
          <cell r="A1347">
            <v>469176</v>
          </cell>
          <cell r="G1347" t="str">
            <v>SD00062725</v>
          </cell>
        </row>
        <row r="1348">
          <cell r="A1348">
            <v>3963072</v>
          </cell>
          <cell r="G1348" t="str">
            <v>SD00039725</v>
          </cell>
        </row>
        <row r="1349">
          <cell r="A1349">
            <v>3620051</v>
          </cell>
          <cell r="G1349" t="str">
            <v>SD00025459</v>
          </cell>
        </row>
        <row r="1350">
          <cell r="A1350">
            <v>3113069</v>
          </cell>
          <cell r="G1350" t="str">
            <v>SD00023693</v>
          </cell>
        </row>
        <row r="1351">
          <cell r="A1351">
            <v>3113068</v>
          </cell>
          <cell r="G1351" t="str">
            <v>SD00023692</v>
          </cell>
        </row>
        <row r="1352">
          <cell r="A1352">
            <v>3700299</v>
          </cell>
          <cell r="G1352" t="str">
            <v>SD00029907</v>
          </cell>
        </row>
        <row r="1353">
          <cell r="A1353">
            <v>2890234</v>
          </cell>
          <cell r="G1353" t="str">
            <v>SD00021403</v>
          </cell>
        </row>
        <row r="1354">
          <cell r="A1354">
            <v>3963071</v>
          </cell>
          <cell r="G1354" t="str">
            <v>SD00039724</v>
          </cell>
        </row>
        <row r="1355">
          <cell r="A1355">
            <v>3751457</v>
          </cell>
          <cell r="G1355" t="str">
            <v>SD00033054</v>
          </cell>
        </row>
        <row r="1356">
          <cell r="A1356">
            <v>6014478</v>
          </cell>
          <cell r="G1356" t="str">
            <v>SD00087803</v>
          </cell>
        </row>
        <row r="1357">
          <cell r="A1357">
            <v>5996911</v>
          </cell>
          <cell r="G1357" t="str">
            <v>SD00085680</v>
          </cell>
        </row>
        <row r="1358">
          <cell r="A1358">
            <v>5934188</v>
          </cell>
          <cell r="G1358" t="str">
            <v>SD00083704</v>
          </cell>
        </row>
        <row r="1359">
          <cell r="A1359">
            <v>468973</v>
          </cell>
          <cell r="G1359" t="str">
            <v>SD00062553</v>
          </cell>
        </row>
        <row r="1360">
          <cell r="A1360">
            <v>375695</v>
          </cell>
          <cell r="G1360" t="str">
            <v>SDSU01218</v>
          </cell>
        </row>
        <row r="1361">
          <cell r="A1361">
            <v>375689</v>
          </cell>
          <cell r="G1361" t="str">
            <v>SDSU01212</v>
          </cell>
        </row>
        <row r="1362">
          <cell r="A1362">
            <v>375697</v>
          </cell>
          <cell r="G1362" t="str">
            <v>SDSU01220</v>
          </cell>
        </row>
        <row r="1363">
          <cell r="A1363">
            <v>375698</v>
          </cell>
          <cell r="G1363" t="str">
            <v>SDSU01221</v>
          </cell>
        </row>
        <row r="1364">
          <cell r="A1364">
            <v>375714</v>
          </cell>
          <cell r="G1364" t="str">
            <v>SDSU01237</v>
          </cell>
        </row>
        <row r="1365">
          <cell r="A1365">
            <v>375726</v>
          </cell>
          <cell r="G1365" t="str">
            <v>SDSU01249</v>
          </cell>
        </row>
        <row r="1366">
          <cell r="A1366">
            <v>375708</v>
          </cell>
          <cell r="G1366" t="str">
            <v>SDSU01231</v>
          </cell>
        </row>
        <row r="1367">
          <cell r="A1367">
            <v>376201</v>
          </cell>
          <cell r="G1367" t="str">
            <v>SDSU01729</v>
          </cell>
        </row>
        <row r="1368">
          <cell r="A1368">
            <v>375702</v>
          </cell>
          <cell r="G1368" t="str">
            <v>SDSU01225</v>
          </cell>
        </row>
        <row r="1369">
          <cell r="A1369">
            <v>375700</v>
          </cell>
          <cell r="G1369" t="str">
            <v>SDSU01223</v>
          </cell>
        </row>
        <row r="1370">
          <cell r="A1370">
            <v>375690</v>
          </cell>
          <cell r="G1370" t="str">
            <v>SDSU01213</v>
          </cell>
        </row>
        <row r="1371">
          <cell r="A1371">
            <v>375699</v>
          </cell>
          <cell r="G1371" t="str">
            <v>SDSU01222</v>
          </cell>
        </row>
        <row r="1372">
          <cell r="A1372">
            <v>375701</v>
          </cell>
          <cell r="G1372" t="str">
            <v>SDSU01224</v>
          </cell>
        </row>
        <row r="1373">
          <cell r="A1373">
            <v>375720</v>
          </cell>
          <cell r="G1373" t="str">
            <v>SDSU01243</v>
          </cell>
        </row>
        <row r="1374">
          <cell r="A1374">
            <v>375692</v>
          </cell>
          <cell r="G1374" t="str">
            <v>SDSU01215</v>
          </cell>
        </row>
        <row r="1375">
          <cell r="A1375">
            <v>375691</v>
          </cell>
          <cell r="G1375" t="str">
            <v>SDSU01214</v>
          </cell>
        </row>
        <row r="1376">
          <cell r="A1376">
            <v>375693</v>
          </cell>
          <cell r="G1376" t="str">
            <v>SDSU01216</v>
          </cell>
        </row>
        <row r="1377">
          <cell r="A1377">
            <v>375694</v>
          </cell>
          <cell r="G1377" t="str">
            <v>SDSU01217</v>
          </cell>
        </row>
        <row r="1378">
          <cell r="A1378">
            <v>375696</v>
          </cell>
          <cell r="G1378" t="str">
            <v>SDSU01219</v>
          </cell>
        </row>
        <row r="1379">
          <cell r="A1379">
            <v>388920</v>
          </cell>
          <cell r="G1379" t="str">
            <v>SDSU14604</v>
          </cell>
        </row>
        <row r="1380">
          <cell r="A1380">
            <v>388921</v>
          </cell>
          <cell r="G1380" t="str">
            <v>SDSU14605</v>
          </cell>
        </row>
        <row r="1381">
          <cell r="A1381">
            <v>374522</v>
          </cell>
          <cell r="G1381" t="str">
            <v>SDSU00031</v>
          </cell>
        </row>
        <row r="1382">
          <cell r="A1382">
            <v>384334</v>
          </cell>
          <cell r="G1382" t="str">
            <v>SDSU09974</v>
          </cell>
        </row>
        <row r="1383">
          <cell r="A1383">
            <v>5068456</v>
          </cell>
          <cell r="G1383" t="str">
            <v>SDSU24116</v>
          </cell>
        </row>
        <row r="1384">
          <cell r="A1384">
            <v>387226</v>
          </cell>
          <cell r="G1384" t="str">
            <v>SDSU12880</v>
          </cell>
        </row>
        <row r="1385">
          <cell r="A1385">
            <v>3753225</v>
          </cell>
          <cell r="G1385" t="str">
            <v>SDSU15560</v>
          </cell>
        </row>
        <row r="1386">
          <cell r="A1386">
            <v>388460</v>
          </cell>
          <cell r="G1386" t="str">
            <v>SDSU14146</v>
          </cell>
        </row>
        <row r="1387">
          <cell r="A1387">
            <v>388498</v>
          </cell>
          <cell r="G1387" t="str">
            <v>SDSU14182</v>
          </cell>
        </row>
        <row r="1388">
          <cell r="A1388">
            <v>389892</v>
          </cell>
          <cell r="G1388" t="str">
            <v>SDSU15680</v>
          </cell>
        </row>
        <row r="1389">
          <cell r="A1389">
            <v>391803</v>
          </cell>
          <cell r="G1389" t="str">
            <v>SDSU17622</v>
          </cell>
        </row>
        <row r="1390">
          <cell r="A1390">
            <v>390689</v>
          </cell>
          <cell r="G1390" t="str">
            <v>SDSU16487</v>
          </cell>
        </row>
        <row r="1391">
          <cell r="A1391">
            <v>393682</v>
          </cell>
          <cell r="G1391" t="str">
            <v>SDSU19512</v>
          </cell>
        </row>
        <row r="1392">
          <cell r="A1392">
            <v>394165</v>
          </cell>
          <cell r="G1392" t="str">
            <v>SDSU19995</v>
          </cell>
        </row>
        <row r="1393">
          <cell r="A1393">
            <v>394122</v>
          </cell>
          <cell r="G1393" t="str">
            <v>SDSU19952</v>
          </cell>
        </row>
        <row r="1394">
          <cell r="A1394">
            <v>395477</v>
          </cell>
          <cell r="G1394" t="str">
            <v>SDSU21495</v>
          </cell>
        </row>
        <row r="1395">
          <cell r="A1395">
            <v>395628</v>
          </cell>
          <cell r="G1395" t="str">
            <v>SDSU21677</v>
          </cell>
        </row>
        <row r="1396">
          <cell r="A1396">
            <v>5549192</v>
          </cell>
          <cell r="G1396" t="str">
            <v>SDSU25094</v>
          </cell>
        </row>
        <row r="1397">
          <cell r="A1397">
            <v>4567203</v>
          </cell>
          <cell r="G1397" t="str">
            <v>SFSU-VP-000828</v>
          </cell>
        </row>
        <row r="1398">
          <cell r="A1398">
            <v>4567202</v>
          </cell>
          <cell r="G1398" t="str">
            <v>SFSU-VP-000829</v>
          </cell>
        </row>
        <row r="1399">
          <cell r="A1399">
            <v>4567201</v>
          </cell>
          <cell r="G1399" t="str">
            <v>SFSU-VP-000830</v>
          </cell>
        </row>
        <row r="1400">
          <cell r="A1400">
            <v>4567198</v>
          </cell>
          <cell r="G1400" t="str">
            <v>SFSU-VP-000833</v>
          </cell>
        </row>
        <row r="1401">
          <cell r="A1401">
            <v>4564850</v>
          </cell>
          <cell r="G1401" t="str">
            <v>SFSU-VP-000839</v>
          </cell>
        </row>
        <row r="1402">
          <cell r="A1402">
            <v>4567195</v>
          </cell>
          <cell r="G1402" t="str">
            <v>SFSU-VP-000836</v>
          </cell>
        </row>
        <row r="1403">
          <cell r="A1403">
            <v>4567200</v>
          </cell>
          <cell r="G1403" t="str">
            <v>SFSU-VP-000831</v>
          </cell>
        </row>
        <row r="1404">
          <cell r="A1404">
            <v>4567193</v>
          </cell>
          <cell r="G1404" t="str">
            <v>SFSU-VP-000838</v>
          </cell>
        </row>
        <row r="1405">
          <cell r="A1405">
            <v>4564848</v>
          </cell>
          <cell r="G1405" t="str">
            <v>SFSU-VP-000841</v>
          </cell>
        </row>
        <row r="1406">
          <cell r="A1406">
            <v>4564849</v>
          </cell>
          <cell r="G1406" t="str">
            <v>SFSU-VP-000840</v>
          </cell>
        </row>
        <row r="1407">
          <cell r="A1407">
            <v>4564847</v>
          </cell>
          <cell r="G1407" t="str">
            <v>SFSU-VP-000842</v>
          </cell>
        </row>
        <row r="1408">
          <cell r="A1408">
            <v>4564845</v>
          </cell>
          <cell r="G1408" t="str">
            <v>SFSU-VP-000844</v>
          </cell>
        </row>
        <row r="1409">
          <cell r="A1409">
            <v>4567194</v>
          </cell>
          <cell r="G1409" t="str">
            <v>SFSU-VP-000837</v>
          </cell>
        </row>
        <row r="1410">
          <cell r="A1410">
            <v>4564840</v>
          </cell>
          <cell r="G1410" t="str">
            <v>SFSU-VP-000849</v>
          </cell>
        </row>
        <row r="1411">
          <cell r="A1411">
            <v>4567196</v>
          </cell>
          <cell r="G1411" t="str">
            <v>SFSU-VP-000835</v>
          </cell>
        </row>
        <row r="1412">
          <cell r="A1412">
            <v>4567197</v>
          </cell>
          <cell r="G1412" t="str">
            <v>SFSU-VP-000834</v>
          </cell>
        </row>
        <row r="1413">
          <cell r="A1413">
            <v>4564846</v>
          </cell>
          <cell r="G1413" t="str">
            <v>SFSU-VP-000843</v>
          </cell>
        </row>
        <row r="1414">
          <cell r="A1414">
            <v>4564842</v>
          </cell>
          <cell r="G1414" t="str">
            <v>SFSU-VP-000847</v>
          </cell>
        </row>
        <row r="1415">
          <cell r="A1415">
            <v>4564843</v>
          </cell>
          <cell r="G1415" t="str">
            <v>SFSU-VP-000846</v>
          </cell>
        </row>
        <row r="1416">
          <cell r="A1416">
            <v>4564844</v>
          </cell>
          <cell r="G1416" t="str">
            <v>SFSU-VP-000845</v>
          </cell>
        </row>
        <row r="1417">
          <cell r="A1417">
            <v>4567199</v>
          </cell>
          <cell r="G1417" t="str">
            <v>SFSU-VP-000832</v>
          </cell>
        </row>
        <row r="1418">
          <cell r="A1418">
            <v>4564841</v>
          </cell>
          <cell r="G1418" t="str">
            <v>SFSU-VP-000848</v>
          </cell>
        </row>
        <row r="1419">
          <cell r="A1419">
            <v>610288</v>
          </cell>
          <cell r="G1419" t="str">
            <v>SFV104572</v>
          </cell>
        </row>
        <row r="1420">
          <cell r="A1420">
            <v>610287</v>
          </cell>
          <cell r="G1420" t="str">
            <v>SFV104571</v>
          </cell>
        </row>
        <row r="1421">
          <cell r="A1421">
            <v>610289</v>
          </cell>
          <cell r="G1421" t="str">
            <v>SFV104573</v>
          </cell>
        </row>
        <row r="1422">
          <cell r="A1422">
            <v>610292</v>
          </cell>
          <cell r="G1422" t="str">
            <v>SFV104577</v>
          </cell>
        </row>
        <row r="1423">
          <cell r="A1423">
            <v>610291</v>
          </cell>
          <cell r="G1423" t="str">
            <v>SFV104576</v>
          </cell>
        </row>
        <row r="1424">
          <cell r="A1424">
            <v>610293</v>
          </cell>
          <cell r="G1424" t="str">
            <v>SFV104578</v>
          </cell>
        </row>
        <row r="1425">
          <cell r="A1425">
            <v>610290</v>
          </cell>
          <cell r="G1425" t="str">
            <v>SFV104575</v>
          </cell>
        </row>
        <row r="1426">
          <cell r="A1426">
            <v>610296</v>
          </cell>
          <cell r="G1426" t="str">
            <v>SFV104583</v>
          </cell>
        </row>
        <row r="1427">
          <cell r="A1427">
            <v>610297</v>
          </cell>
          <cell r="G1427" t="str">
            <v>SFV104584</v>
          </cell>
        </row>
        <row r="1428">
          <cell r="A1428">
            <v>610294</v>
          </cell>
          <cell r="G1428" t="str">
            <v>SFV104579</v>
          </cell>
        </row>
        <row r="1429">
          <cell r="A1429">
            <v>610298</v>
          </cell>
          <cell r="G1429" t="str">
            <v>SFV104585</v>
          </cell>
        </row>
        <row r="1430">
          <cell r="A1430">
            <v>610295</v>
          </cell>
          <cell r="G1430" t="str">
            <v>SFV104574</v>
          </cell>
        </row>
        <row r="1431">
          <cell r="A1431">
            <v>611759</v>
          </cell>
          <cell r="G1431" t="str">
            <v>SFV104580</v>
          </cell>
        </row>
        <row r="1432">
          <cell r="A1432">
            <v>617784</v>
          </cell>
          <cell r="G1432" t="str">
            <v>SFV104582</v>
          </cell>
        </row>
        <row r="1433">
          <cell r="A1433">
            <v>613793</v>
          </cell>
          <cell r="G1433" t="str">
            <v>SFV104581</v>
          </cell>
        </row>
        <row r="1434">
          <cell r="A1434">
            <v>3611988</v>
          </cell>
        </row>
        <row r="1435">
          <cell r="A1435">
            <v>3611981</v>
          </cell>
        </row>
        <row r="1436">
          <cell r="A1436">
            <v>3611982</v>
          </cell>
        </row>
        <row r="1437">
          <cell r="A1437">
            <v>3611984</v>
          </cell>
        </row>
        <row r="1438">
          <cell r="A1438">
            <v>3612417</v>
          </cell>
        </row>
        <row r="1439">
          <cell r="A1439">
            <v>3611985</v>
          </cell>
        </row>
        <row r="1440">
          <cell r="A1440">
            <v>3611986</v>
          </cell>
        </row>
        <row r="1441">
          <cell r="A1441">
            <v>3611987</v>
          </cell>
        </row>
        <row r="1442">
          <cell r="A1442">
            <v>3612415</v>
          </cell>
        </row>
        <row r="1443">
          <cell r="A1443">
            <v>3611977</v>
          </cell>
        </row>
        <row r="1444">
          <cell r="A1444">
            <v>3611980</v>
          </cell>
        </row>
        <row r="1445">
          <cell r="A1445">
            <v>3611979</v>
          </cell>
        </row>
        <row r="1446">
          <cell r="A1446">
            <v>3612398</v>
          </cell>
        </row>
        <row r="1447">
          <cell r="A1447">
            <v>3611474</v>
          </cell>
        </row>
        <row r="1448">
          <cell r="A1448">
            <v>3611826</v>
          </cell>
        </row>
        <row r="1449">
          <cell r="A1449">
            <v>3617268</v>
          </cell>
        </row>
        <row r="1450">
          <cell r="A1450">
            <v>3617348</v>
          </cell>
        </row>
        <row r="1451">
          <cell r="A1451">
            <v>3618669</v>
          </cell>
        </row>
        <row r="1452">
          <cell r="A1452">
            <v>3618936</v>
          </cell>
        </row>
        <row r="1453">
          <cell r="A1453">
            <v>3612022</v>
          </cell>
        </row>
        <row r="1454">
          <cell r="A1454">
            <v>3612021</v>
          </cell>
        </row>
        <row r="1455">
          <cell r="A1455">
            <v>3612033</v>
          </cell>
        </row>
        <row r="1456">
          <cell r="A1456">
            <v>3612035</v>
          </cell>
        </row>
        <row r="1457">
          <cell r="A1457">
            <v>3612018</v>
          </cell>
        </row>
        <row r="1458">
          <cell r="A1458">
            <v>3612416</v>
          </cell>
        </row>
        <row r="1459">
          <cell r="A1459">
            <v>3611992</v>
          </cell>
        </row>
        <row r="1460">
          <cell r="A1460">
            <v>3612020</v>
          </cell>
        </row>
        <row r="1461">
          <cell r="A1461">
            <v>3612015</v>
          </cell>
        </row>
        <row r="1462">
          <cell r="A1462">
            <v>3612017</v>
          </cell>
        </row>
        <row r="1463">
          <cell r="A1463">
            <v>3611990</v>
          </cell>
        </row>
        <row r="1464">
          <cell r="A1464">
            <v>3612028</v>
          </cell>
        </row>
        <row r="1465">
          <cell r="A1465">
            <v>3612024</v>
          </cell>
        </row>
        <row r="1466">
          <cell r="A1466">
            <v>3612025</v>
          </cell>
        </row>
        <row r="1467">
          <cell r="A1467">
            <v>3612026</v>
          </cell>
        </row>
        <row r="1468">
          <cell r="A1468">
            <v>3612027</v>
          </cell>
        </row>
        <row r="1469">
          <cell r="A1469">
            <v>3612036</v>
          </cell>
        </row>
        <row r="1470">
          <cell r="A1470">
            <v>3612391</v>
          </cell>
        </row>
        <row r="1471">
          <cell r="A1471">
            <v>3612238</v>
          </cell>
        </row>
        <row r="1472">
          <cell r="A1472">
            <v>3612758</v>
          </cell>
        </row>
        <row r="1473">
          <cell r="A1473">
            <v>3612756</v>
          </cell>
        </row>
        <row r="1474">
          <cell r="A1474">
            <v>3612202</v>
          </cell>
        </row>
        <row r="1475">
          <cell r="A1475">
            <v>3618225</v>
          </cell>
        </row>
        <row r="1476">
          <cell r="A1476">
            <v>4404154</v>
          </cell>
          <cell r="G1476" t="str">
            <v>01951</v>
          </cell>
        </row>
        <row r="1477">
          <cell r="A1477">
            <v>3980864</v>
          </cell>
          <cell r="G1477" t="str">
            <v>SEKI17507</v>
          </cell>
        </row>
        <row r="1478">
          <cell r="A1478">
            <v>3366602</v>
          </cell>
          <cell r="G1478" t="str">
            <v>UC10776</v>
          </cell>
        </row>
        <row r="1479">
          <cell r="A1479">
            <v>3308798</v>
          </cell>
          <cell r="G1479" t="str">
            <v>UC220629</v>
          </cell>
        </row>
        <row r="1480">
          <cell r="A1480">
            <v>3452051</v>
          </cell>
          <cell r="G1480" t="str">
            <v>UC10775</v>
          </cell>
        </row>
        <row r="1481">
          <cell r="A1481">
            <v>3317219</v>
          </cell>
          <cell r="G1481" t="str">
            <v>JEPS53816</v>
          </cell>
        </row>
        <row r="1482">
          <cell r="A1482">
            <v>3322372</v>
          </cell>
          <cell r="G1482" t="str">
            <v>UC64347</v>
          </cell>
        </row>
        <row r="1483">
          <cell r="A1483">
            <v>3479641</v>
          </cell>
          <cell r="G1483" t="str">
            <v>UC212637</v>
          </cell>
        </row>
        <row r="1484">
          <cell r="A1484">
            <v>3272683</v>
          </cell>
          <cell r="G1484" t="str">
            <v>UC520022</v>
          </cell>
        </row>
        <row r="1485">
          <cell r="A1485">
            <v>3262100</v>
          </cell>
          <cell r="G1485" t="str">
            <v>UC765025</v>
          </cell>
        </row>
        <row r="1486">
          <cell r="A1486">
            <v>3444193</v>
          </cell>
          <cell r="G1486" t="str">
            <v>UC596419</v>
          </cell>
        </row>
        <row r="1487">
          <cell r="A1487">
            <v>3553698</v>
          </cell>
          <cell r="G1487" t="str">
            <v>UC557711</v>
          </cell>
        </row>
        <row r="1488">
          <cell r="A1488">
            <v>3183749</v>
          </cell>
          <cell r="G1488" t="str">
            <v>UC1126742</v>
          </cell>
        </row>
        <row r="1489">
          <cell r="A1489">
            <v>3523645</v>
          </cell>
          <cell r="G1489" t="str">
            <v>JEPS53814</v>
          </cell>
        </row>
        <row r="1490">
          <cell r="A1490">
            <v>3489238</v>
          </cell>
          <cell r="G1490" t="str">
            <v>UC1126741</v>
          </cell>
        </row>
        <row r="1491">
          <cell r="A1491">
            <v>3476616</v>
          </cell>
          <cell r="G1491" t="str">
            <v>UC1046483</v>
          </cell>
        </row>
        <row r="1492">
          <cell r="A1492">
            <v>3498289</v>
          </cell>
          <cell r="G1492" t="str">
            <v>JEPS8424</v>
          </cell>
        </row>
        <row r="1493">
          <cell r="A1493">
            <v>3414522</v>
          </cell>
          <cell r="G1493" t="str">
            <v>JEPS45441</v>
          </cell>
        </row>
        <row r="1494">
          <cell r="A1494">
            <v>3258841</v>
          </cell>
          <cell r="G1494" t="str">
            <v>UC1586725</v>
          </cell>
        </row>
        <row r="1495">
          <cell r="A1495">
            <v>3270997</v>
          </cell>
          <cell r="G1495" t="str">
            <v>UC1595411</v>
          </cell>
        </row>
        <row r="1496">
          <cell r="A1496">
            <v>3278418</v>
          </cell>
          <cell r="G1496" t="str">
            <v>JEPS88506</v>
          </cell>
        </row>
        <row r="1497">
          <cell r="A1497">
            <v>5963480</v>
          </cell>
          <cell r="G1497" t="str">
            <v>UC2087784</v>
          </cell>
        </row>
        <row r="1498">
          <cell r="A1498">
            <v>5964123</v>
          </cell>
          <cell r="G1498" t="str">
            <v>UC2087786</v>
          </cell>
        </row>
        <row r="1499">
          <cell r="A1499">
            <v>3324477</v>
          </cell>
          <cell r="G1499" t="str">
            <v>UC2027737</v>
          </cell>
        </row>
        <row r="1500">
          <cell r="A1500">
            <v>3373130</v>
          </cell>
          <cell r="G1500" t="str">
            <v>JEPS126116</v>
          </cell>
        </row>
        <row r="1501">
          <cell r="A1501">
            <v>3275642</v>
          </cell>
          <cell r="G1501" t="str">
            <v>UC2028045</v>
          </cell>
        </row>
        <row r="1502">
          <cell r="A1502">
            <v>3483502</v>
          </cell>
          <cell r="G1502" t="str">
            <v>UC2028212</v>
          </cell>
        </row>
        <row r="1503">
          <cell r="A1503">
            <v>3544281</v>
          </cell>
          <cell r="G1503" t="str">
            <v>UC2028176</v>
          </cell>
        </row>
        <row r="1504">
          <cell r="A1504">
            <v>3475357</v>
          </cell>
          <cell r="G1504" t="str">
            <v>JEPS100009</v>
          </cell>
        </row>
        <row r="1505">
          <cell r="A1505">
            <v>3511024</v>
          </cell>
          <cell r="G1505" t="str">
            <v>JEPS113119</v>
          </cell>
        </row>
        <row r="1506">
          <cell r="A1506">
            <v>3266093</v>
          </cell>
          <cell r="G1506" t="str">
            <v>JEPS114346</v>
          </cell>
        </row>
        <row r="1507">
          <cell r="A1507">
            <v>3349335</v>
          </cell>
          <cell r="G1507" t="str">
            <v>JEPS127092</v>
          </cell>
        </row>
        <row r="1508">
          <cell r="A1508">
            <v>3258364</v>
          </cell>
          <cell r="G1508" t="str">
            <v>UC14322</v>
          </cell>
        </row>
        <row r="1509">
          <cell r="A1509">
            <v>3351467</v>
          </cell>
          <cell r="G1509" t="str">
            <v>JEPS53818</v>
          </cell>
        </row>
        <row r="1510">
          <cell r="A1510">
            <v>3268949</v>
          </cell>
          <cell r="G1510" t="str">
            <v>UC10778</v>
          </cell>
        </row>
        <row r="1511">
          <cell r="A1511">
            <v>3330781</v>
          </cell>
          <cell r="G1511" t="str">
            <v>UC117497</v>
          </cell>
        </row>
        <row r="1512">
          <cell r="A1512">
            <v>3209072</v>
          </cell>
          <cell r="G1512" t="str">
            <v>UC1206452</v>
          </cell>
        </row>
        <row r="1513">
          <cell r="A1513">
            <v>3511149</v>
          </cell>
          <cell r="G1513" t="str">
            <v>JEPS53812</v>
          </cell>
        </row>
        <row r="1514">
          <cell r="A1514">
            <v>3183373</v>
          </cell>
          <cell r="G1514" t="str">
            <v>UC10780</v>
          </cell>
        </row>
        <row r="1515">
          <cell r="A1515">
            <v>3464512</v>
          </cell>
          <cell r="G1515" t="str">
            <v>UC10777</v>
          </cell>
        </row>
        <row r="1516">
          <cell r="A1516">
            <v>3245328</v>
          </cell>
          <cell r="G1516" t="str">
            <v>UC117496</v>
          </cell>
        </row>
        <row r="1517">
          <cell r="A1517">
            <v>3212192</v>
          </cell>
          <cell r="G1517" t="str">
            <v>UC56738</v>
          </cell>
        </row>
        <row r="1518">
          <cell r="A1518">
            <v>3382838</v>
          </cell>
          <cell r="G1518" t="str">
            <v>UC56903</v>
          </cell>
        </row>
        <row r="1519">
          <cell r="A1519">
            <v>3542265</v>
          </cell>
          <cell r="G1519" t="str">
            <v>UC66740</v>
          </cell>
        </row>
        <row r="1520">
          <cell r="A1520">
            <v>3400958</v>
          </cell>
          <cell r="G1520" t="str">
            <v>UC69195</v>
          </cell>
        </row>
        <row r="1521">
          <cell r="A1521">
            <v>3468200</v>
          </cell>
          <cell r="G1521" t="str">
            <v>UC455765</v>
          </cell>
        </row>
        <row r="1522">
          <cell r="A1522">
            <v>3257939</v>
          </cell>
          <cell r="G1522" t="str">
            <v>UC127885</v>
          </cell>
        </row>
        <row r="1523">
          <cell r="A1523">
            <v>3489775</v>
          </cell>
          <cell r="G1523" t="str">
            <v>UC1199217</v>
          </cell>
        </row>
        <row r="1524">
          <cell r="A1524">
            <v>3290499</v>
          </cell>
          <cell r="G1524" t="str">
            <v>JEPS53817</v>
          </cell>
        </row>
        <row r="1525">
          <cell r="A1525">
            <v>3430357</v>
          </cell>
          <cell r="G1525" t="str">
            <v>UC203587</v>
          </cell>
        </row>
        <row r="1526">
          <cell r="A1526">
            <v>3479651</v>
          </cell>
          <cell r="G1526" t="str">
            <v>UC212638</v>
          </cell>
        </row>
        <row r="1527">
          <cell r="A1527">
            <v>3499442</v>
          </cell>
          <cell r="G1527" t="str">
            <v>JEPS53815</v>
          </cell>
        </row>
        <row r="1528">
          <cell r="A1528">
            <v>3260290</v>
          </cell>
          <cell r="G1528" t="str">
            <v>UC407038</v>
          </cell>
        </row>
        <row r="1529">
          <cell r="A1529">
            <v>3334730</v>
          </cell>
          <cell r="G1529" t="str">
            <v>UC650429</v>
          </cell>
        </row>
        <row r="1530">
          <cell r="A1530">
            <v>3358215</v>
          </cell>
          <cell r="G1530" t="str">
            <v>UC519997</v>
          </cell>
        </row>
        <row r="1531">
          <cell r="A1531">
            <v>3224405</v>
          </cell>
          <cell r="G1531" t="str">
            <v>UC589365</v>
          </cell>
        </row>
        <row r="1532">
          <cell r="A1532">
            <v>3492727</v>
          </cell>
          <cell r="G1532" t="str">
            <v>UC521694</v>
          </cell>
        </row>
        <row r="1533">
          <cell r="A1533">
            <v>3379131</v>
          </cell>
          <cell r="G1533" t="str">
            <v>UC1126745</v>
          </cell>
        </row>
        <row r="1534">
          <cell r="A1534">
            <v>3550026</v>
          </cell>
          <cell r="G1534" t="str">
            <v>UC1126746</v>
          </cell>
        </row>
        <row r="1535">
          <cell r="A1535">
            <v>3417594</v>
          </cell>
          <cell r="G1535" t="str">
            <v>UC1614555</v>
          </cell>
        </row>
        <row r="1536">
          <cell r="A1536">
            <v>3377055</v>
          </cell>
          <cell r="G1536" t="str">
            <v>JEPS53819</v>
          </cell>
        </row>
        <row r="1537">
          <cell r="A1537">
            <v>3563575</v>
          </cell>
          <cell r="G1537" t="str">
            <v>UC1536931</v>
          </cell>
        </row>
        <row r="1538">
          <cell r="A1538">
            <v>3366934</v>
          </cell>
          <cell r="G1538" t="str">
            <v>UC1126750</v>
          </cell>
        </row>
        <row r="1539">
          <cell r="A1539">
            <v>3525429</v>
          </cell>
          <cell r="G1539" t="str">
            <v>UC1126748</v>
          </cell>
        </row>
        <row r="1540">
          <cell r="A1540">
            <v>3562157</v>
          </cell>
          <cell r="G1540" t="str">
            <v>UC1126747</v>
          </cell>
        </row>
        <row r="1541">
          <cell r="A1541">
            <v>3462399</v>
          </cell>
          <cell r="G1541" t="str">
            <v>JEPS54284</v>
          </cell>
        </row>
        <row r="1542">
          <cell r="A1542">
            <v>3433650</v>
          </cell>
          <cell r="G1542" t="str">
            <v>UC1126749</v>
          </cell>
        </row>
        <row r="1543">
          <cell r="A1543">
            <v>3306212</v>
          </cell>
          <cell r="G1543" t="str">
            <v>UC1126752</v>
          </cell>
        </row>
        <row r="1544">
          <cell r="A1544">
            <v>3335398</v>
          </cell>
          <cell r="G1544" t="str">
            <v>UC765016</v>
          </cell>
        </row>
        <row r="1545">
          <cell r="A1545">
            <v>3539396</v>
          </cell>
          <cell r="G1545" t="str">
            <v>UC1543096</v>
          </cell>
        </row>
        <row r="1546">
          <cell r="A1546">
            <v>3440200</v>
          </cell>
          <cell r="G1546" t="str">
            <v>UC1126753</v>
          </cell>
        </row>
        <row r="1547">
          <cell r="A1547">
            <v>3293792</v>
          </cell>
          <cell r="G1547" t="str">
            <v>UC1126754</v>
          </cell>
        </row>
        <row r="1548">
          <cell r="A1548">
            <v>3310288</v>
          </cell>
          <cell r="G1548" t="str">
            <v>UC606739</v>
          </cell>
        </row>
        <row r="1549">
          <cell r="A1549">
            <v>3281522</v>
          </cell>
          <cell r="G1549" t="str">
            <v>UC1126744</v>
          </cell>
        </row>
        <row r="1550">
          <cell r="A1550">
            <v>3534929</v>
          </cell>
          <cell r="G1550" t="str">
            <v>JEPS53813</v>
          </cell>
        </row>
        <row r="1551">
          <cell r="A1551">
            <v>3477178</v>
          </cell>
          <cell r="G1551" t="str">
            <v>UC1126751</v>
          </cell>
        </row>
        <row r="1552">
          <cell r="A1552">
            <v>3232355</v>
          </cell>
          <cell r="G1552" t="str">
            <v>UC1084367</v>
          </cell>
        </row>
        <row r="1553">
          <cell r="A1553">
            <v>3286045</v>
          </cell>
          <cell r="G1553" t="str">
            <v>UC685672</v>
          </cell>
        </row>
        <row r="1554">
          <cell r="A1554">
            <v>3514143</v>
          </cell>
          <cell r="G1554" t="str">
            <v>UC1252110</v>
          </cell>
        </row>
        <row r="1555">
          <cell r="A1555">
            <v>3386031</v>
          </cell>
          <cell r="G1555" t="str">
            <v>UC2049883</v>
          </cell>
        </row>
        <row r="1556">
          <cell r="A1556">
            <v>3292668</v>
          </cell>
          <cell r="G1556" t="str">
            <v>JEPS45440</v>
          </cell>
        </row>
        <row r="1557">
          <cell r="A1557">
            <v>3428915</v>
          </cell>
          <cell r="G1557" t="str">
            <v>UC1327247</v>
          </cell>
        </row>
        <row r="1558">
          <cell r="A1558">
            <v>5509708</v>
          </cell>
          <cell r="G1558" t="str">
            <v>UC2079007</v>
          </cell>
        </row>
        <row r="1559">
          <cell r="A1559">
            <v>3425410</v>
          </cell>
          <cell r="G1559" t="str">
            <v>JEPS78175</v>
          </cell>
        </row>
        <row r="1560">
          <cell r="A1560">
            <v>3503027</v>
          </cell>
          <cell r="G1560" t="str">
            <v>UC1584034</v>
          </cell>
        </row>
        <row r="1561">
          <cell r="A1561">
            <v>3239401</v>
          </cell>
          <cell r="G1561" t="str">
            <v>UC2028282</v>
          </cell>
        </row>
        <row r="1562">
          <cell r="A1562">
            <v>3544438</v>
          </cell>
          <cell r="G1562" t="str">
            <v>UC2028317</v>
          </cell>
        </row>
        <row r="1563">
          <cell r="A1563">
            <v>3400832</v>
          </cell>
          <cell r="G1563" t="str">
            <v>JEPS111867</v>
          </cell>
        </row>
        <row r="1564">
          <cell r="A1564">
            <v>5509705</v>
          </cell>
          <cell r="G1564" t="str">
            <v>UC2082406</v>
          </cell>
        </row>
        <row r="1565">
          <cell r="A1565">
            <v>1563687</v>
          </cell>
          <cell r="G1565" t="str">
            <v>UCR0083312</v>
          </cell>
        </row>
        <row r="1566">
          <cell r="A1566">
            <v>1485142</v>
          </cell>
          <cell r="G1566">
            <v>884527</v>
          </cell>
        </row>
        <row r="1567">
          <cell r="A1567">
            <v>1443131</v>
          </cell>
          <cell r="G1567" t="str">
            <v>UCR0083433</v>
          </cell>
        </row>
        <row r="1568">
          <cell r="A1568">
            <v>1617536</v>
          </cell>
          <cell r="G1568" t="str">
            <v>UCR0083309</v>
          </cell>
        </row>
        <row r="1569">
          <cell r="A1569">
            <v>3591680</v>
          </cell>
          <cell r="G1569" t="str">
            <v>UCR0083432</v>
          </cell>
        </row>
        <row r="1570">
          <cell r="A1570">
            <v>1583074</v>
          </cell>
          <cell r="G1570" t="str">
            <v>UCR0083307</v>
          </cell>
        </row>
        <row r="1571">
          <cell r="A1571">
            <v>1474357</v>
          </cell>
          <cell r="G1571" t="str">
            <v>UCR0083314</v>
          </cell>
        </row>
        <row r="1572">
          <cell r="A1572">
            <v>1544580</v>
          </cell>
          <cell r="G1572" t="str">
            <v>UCR0083308</v>
          </cell>
        </row>
        <row r="1573">
          <cell r="A1573">
            <v>1657455</v>
          </cell>
          <cell r="G1573" t="str">
            <v>UCR0083305</v>
          </cell>
        </row>
        <row r="1574">
          <cell r="A1574">
            <v>1613574</v>
          </cell>
          <cell r="G1574" t="str">
            <v>UCR0083306</v>
          </cell>
        </row>
        <row r="1575">
          <cell r="A1575">
            <v>1613581</v>
          </cell>
          <cell r="G1575" t="str">
            <v>UCR0083310</v>
          </cell>
        </row>
        <row r="1576">
          <cell r="A1576">
            <v>1619748</v>
          </cell>
          <cell r="G1576" t="str">
            <v>UCR0083317</v>
          </cell>
        </row>
        <row r="1577">
          <cell r="A1577">
            <v>1635523</v>
          </cell>
          <cell r="G1577" t="str">
            <v>UCR0083316</v>
          </cell>
        </row>
        <row r="1578">
          <cell r="A1578">
            <v>1670844</v>
          </cell>
          <cell r="G1578" t="str">
            <v>UCR0083311</v>
          </cell>
        </row>
        <row r="1579">
          <cell r="A1579">
            <v>1673929</v>
          </cell>
          <cell r="G1579" t="str">
            <v>UCR0083431</v>
          </cell>
        </row>
        <row r="1580">
          <cell r="A1580">
            <v>1671160</v>
          </cell>
          <cell r="G1580" t="str">
            <v>UCR0083398</v>
          </cell>
        </row>
        <row r="1581">
          <cell r="A1581">
            <v>3591679</v>
          </cell>
          <cell r="G1581" t="str">
            <v>UCR0083304</v>
          </cell>
        </row>
        <row r="1582">
          <cell r="A1582">
            <v>1702201</v>
          </cell>
          <cell r="G1582" t="str">
            <v>UCR0083315</v>
          </cell>
        </row>
        <row r="1583">
          <cell r="A1583">
            <v>1443133</v>
          </cell>
          <cell r="G1583" t="str">
            <v>UCR0083345</v>
          </cell>
        </row>
        <row r="1584">
          <cell r="A1584">
            <v>1443128</v>
          </cell>
          <cell r="G1584" t="str">
            <v>UCR0083374</v>
          </cell>
        </row>
        <row r="1585">
          <cell r="A1585">
            <v>1443125</v>
          </cell>
          <cell r="G1585" t="str">
            <v>UCR0083349</v>
          </cell>
        </row>
        <row r="1586">
          <cell r="A1586">
            <v>1443129</v>
          </cell>
          <cell r="G1586" t="str">
            <v>UCR0083346</v>
          </cell>
        </row>
        <row r="1587">
          <cell r="A1587">
            <v>1443127</v>
          </cell>
          <cell r="G1587" t="str">
            <v>UCR0083404</v>
          </cell>
        </row>
        <row r="1588">
          <cell r="A1588">
            <v>1459126</v>
          </cell>
          <cell r="G1588" t="str">
            <v>UCR0083392</v>
          </cell>
        </row>
        <row r="1589">
          <cell r="A1589">
            <v>1459129</v>
          </cell>
          <cell r="G1589" t="str">
            <v>UCR0083371</v>
          </cell>
        </row>
        <row r="1590">
          <cell r="A1590">
            <v>1459130</v>
          </cell>
          <cell r="G1590" t="str">
            <v>UCR0083335</v>
          </cell>
        </row>
        <row r="1591">
          <cell r="A1591">
            <v>1459128</v>
          </cell>
          <cell r="G1591" t="str">
            <v>UCR0083336</v>
          </cell>
        </row>
        <row r="1592">
          <cell r="A1592">
            <v>5764054</v>
          </cell>
          <cell r="G1592" t="str">
            <v>UCR0132933</v>
          </cell>
        </row>
        <row r="1593">
          <cell r="A1593">
            <v>1459132</v>
          </cell>
          <cell r="G1593" t="str">
            <v>UCR0083351</v>
          </cell>
        </row>
        <row r="1594">
          <cell r="A1594">
            <v>3823822</v>
          </cell>
          <cell r="G1594" t="str">
            <v>UCR0110950</v>
          </cell>
        </row>
        <row r="1595">
          <cell r="A1595">
            <v>1537502</v>
          </cell>
          <cell r="G1595" t="str">
            <v>UCR0083394</v>
          </cell>
        </row>
        <row r="1596">
          <cell r="A1596">
            <v>1620584</v>
          </cell>
          <cell r="G1596" t="str">
            <v>UCR0083343</v>
          </cell>
        </row>
        <row r="1597">
          <cell r="A1597">
            <v>1467990</v>
          </cell>
          <cell r="G1597" t="str">
            <v>UCR0083342</v>
          </cell>
        </row>
        <row r="1598">
          <cell r="A1598">
            <v>1474361</v>
          </cell>
          <cell r="G1598" t="str">
            <v>UCR0083348</v>
          </cell>
        </row>
        <row r="1599">
          <cell r="A1599">
            <v>1474365</v>
          </cell>
          <cell r="G1599" t="str">
            <v>UCR0083337</v>
          </cell>
        </row>
        <row r="1600">
          <cell r="A1600">
            <v>1474363</v>
          </cell>
          <cell r="G1600" t="str">
            <v>UCR0083347</v>
          </cell>
        </row>
        <row r="1601">
          <cell r="A1601">
            <v>1474359</v>
          </cell>
          <cell r="G1601" t="str">
            <v>UCR0083339</v>
          </cell>
        </row>
        <row r="1602">
          <cell r="A1602">
            <v>1474364</v>
          </cell>
          <cell r="G1602" t="str">
            <v>UCR0083375</v>
          </cell>
        </row>
        <row r="1603">
          <cell r="A1603">
            <v>1679006</v>
          </cell>
          <cell r="G1603" t="str">
            <v>UCR0083393</v>
          </cell>
        </row>
        <row r="1604">
          <cell r="A1604">
            <v>1474360</v>
          </cell>
          <cell r="G1604" t="str">
            <v>UCR0083338</v>
          </cell>
        </row>
        <row r="1605">
          <cell r="A1605">
            <v>1546416</v>
          </cell>
          <cell r="G1605" t="str">
            <v>UCR0083334</v>
          </cell>
        </row>
        <row r="1606">
          <cell r="A1606">
            <v>1483561</v>
          </cell>
          <cell r="G1606" t="str">
            <v>UCR0083352</v>
          </cell>
        </row>
        <row r="1607">
          <cell r="A1607">
            <v>1697342</v>
          </cell>
          <cell r="G1607" t="str">
            <v>UCR0083324</v>
          </cell>
        </row>
        <row r="1608">
          <cell r="A1608">
            <v>1480899</v>
          </cell>
          <cell r="G1608" t="str">
            <v>UCR0083353</v>
          </cell>
        </row>
        <row r="1609">
          <cell r="A1609">
            <v>1696723</v>
          </cell>
          <cell r="G1609" t="str">
            <v>UCR0083325</v>
          </cell>
        </row>
        <row r="1610">
          <cell r="A1610">
            <v>1566244</v>
          </cell>
          <cell r="G1610" t="str">
            <v>UCR0083370</v>
          </cell>
        </row>
        <row r="1611">
          <cell r="A1611">
            <v>1562530</v>
          </cell>
          <cell r="G1611" t="str">
            <v>UCR0083365</v>
          </cell>
        </row>
        <row r="1612">
          <cell r="A1612">
            <v>1585505</v>
          </cell>
          <cell r="G1612" t="str">
            <v>UCR0083362</v>
          </cell>
        </row>
        <row r="1613">
          <cell r="A1613">
            <v>1548194</v>
          </cell>
          <cell r="G1613" t="str">
            <v>UCR0083344</v>
          </cell>
        </row>
        <row r="1614">
          <cell r="A1614">
            <v>1635838</v>
          </cell>
          <cell r="G1614" t="str">
            <v>UCR0083340</v>
          </cell>
        </row>
        <row r="1615">
          <cell r="A1615">
            <v>1655005</v>
          </cell>
          <cell r="G1615" t="str">
            <v>UCR0083331</v>
          </cell>
        </row>
        <row r="1616">
          <cell r="A1616">
            <v>1547140</v>
          </cell>
          <cell r="G1616" t="str">
            <v>UCR0083373</v>
          </cell>
        </row>
        <row r="1617">
          <cell r="A1617">
            <v>1576181</v>
          </cell>
          <cell r="G1617" t="str">
            <v>UCR0083368</v>
          </cell>
        </row>
        <row r="1618">
          <cell r="A1618">
            <v>1578856</v>
          </cell>
          <cell r="G1618" t="str">
            <v>UCR0083366</v>
          </cell>
        </row>
        <row r="1619">
          <cell r="A1619">
            <v>1654990</v>
          </cell>
          <cell r="G1619" t="str">
            <v>UCR0083358</v>
          </cell>
        </row>
        <row r="1620">
          <cell r="A1620">
            <v>1555576</v>
          </cell>
          <cell r="G1620" t="str">
            <v>UCR0083363</v>
          </cell>
        </row>
        <row r="1621">
          <cell r="A1621">
            <v>1560057</v>
          </cell>
          <cell r="G1621" t="str">
            <v>UCR0083372</v>
          </cell>
        </row>
        <row r="1622">
          <cell r="A1622">
            <v>1591417</v>
          </cell>
          <cell r="G1622" t="str">
            <v>UCR0083360</v>
          </cell>
        </row>
        <row r="1623">
          <cell r="A1623">
            <v>1591452</v>
          </cell>
          <cell r="G1623" t="str">
            <v>UCR0083359</v>
          </cell>
        </row>
        <row r="1624">
          <cell r="A1624">
            <v>1588191</v>
          </cell>
          <cell r="G1624" t="str">
            <v>UCR0083361</v>
          </cell>
        </row>
        <row r="1625">
          <cell r="A1625">
            <v>1575247</v>
          </cell>
          <cell r="G1625" t="str">
            <v>UCR0083367</v>
          </cell>
        </row>
        <row r="1626">
          <cell r="A1626">
            <v>1572304</v>
          </cell>
          <cell r="G1626" t="str">
            <v>UCR0083369</v>
          </cell>
        </row>
        <row r="1627">
          <cell r="A1627">
            <v>1578414</v>
          </cell>
          <cell r="G1627" t="str">
            <v>UCR0083364</v>
          </cell>
        </row>
        <row r="1628">
          <cell r="A1628">
            <v>1602409</v>
          </cell>
          <cell r="G1628" t="str">
            <v>UCR0111501</v>
          </cell>
        </row>
        <row r="1629">
          <cell r="A1629">
            <v>1582894</v>
          </cell>
          <cell r="G1629" t="str">
            <v>UCR0083403</v>
          </cell>
        </row>
        <row r="1630">
          <cell r="A1630">
            <v>1601338</v>
          </cell>
          <cell r="G1630" t="str">
            <v>UCR0083321</v>
          </cell>
        </row>
        <row r="1631">
          <cell r="A1631">
            <v>1591165</v>
          </cell>
          <cell r="G1631" t="str">
            <v>UCR0083322</v>
          </cell>
        </row>
        <row r="1632">
          <cell r="A1632">
            <v>1590780</v>
          </cell>
          <cell r="G1632" t="str">
            <v>UCR0083396</v>
          </cell>
        </row>
        <row r="1633">
          <cell r="A1633">
            <v>1606153</v>
          </cell>
          <cell r="G1633" t="str">
            <v>UCR0083333</v>
          </cell>
        </row>
        <row r="1634">
          <cell r="A1634">
            <v>1603927</v>
          </cell>
          <cell r="G1634" t="str">
            <v>UCR0083399</v>
          </cell>
        </row>
        <row r="1635">
          <cell r="A1635">
            <v>1607550</v>
          </cell>
          <cell r="G1635" t="str">
            <v>UCR0083382</v>
          </cell>
        </row>
        <row r="1636">
          <cell r="A1636">
            <v>1612297</v>
          </cell>
          <cell r="G1636" t="str">
            <v>UCR0083341</v>
          </cell>
        </row>
        <row r="1637">
          <cell r="A1637">
            <v>1615905</v>
          </cell>
          <cell r="G1637" t="str">
            <v>UCR0083385</v>
          </cell>
        </row>
        <row r="1638">
          <cell r="A1638">
            <v>1620243</v>
          </cell>
          <cell r="G1638" t="str">
            <v>UCR0083402</v>
          </cell>
        </row>
        <row r="1639">
          <cell r="A1639">
            <v>1616502</v>
          </cell>
          <cell r="G1639" t="str">
            <v>UCR0083381</v>
          </cell>
        </row>
        <row r="1640">
          <cell r="A1640">
            <v>1619773</v>
          </cell>
          <cell r="G1640" t="str">
            <v>UCR0083387</v>
          </cell>
        </row>
        <row r="1641">
          <cell r="A1641">
            <v>1653991</v>
          </cell>
          <cell r="G1641" t="str">
            <v>UCR0083357</v>
          </cell>
        </row>
        <row r="1642">
          <cell r="A1642">
            <v>1635613</v>
          </cell>
          <cell r="G1642" t="str">
            <v>UCR0083332</v>
          </cell>
        </row>
        <row r="1643">
          <cell r="A1643">
            <v>1623574</v>
          </cell>
          <cell r="G1643" t="str">
            <v>UCR0111502</v>
          </cell>
        </row>
        <row r="1644">
          <cell r="A1644">
            <v>1623528</v>
          </cell>
          <cell r="G1644" t="str">
            <v>UCR0083388</v>
          </cell>
        </row>
        <row r="1645">
          <cell r="A1645">
            <v>1630048</v>
          </cell>
          <cell r="G1645" t="str">
            <v>UCR0083330</v>
          </cell>
        </row>
        <row r="1646">
          <cell r="A1646">
            <v>1675351</v>
          </cell>
          <cell r="G1646" t="str">
            <v>UCR0083329</v>
          </cell>
        </row>
        <row r="1647">
          <cell r="A1647">
            <v>1676594</v>
          </cell>
          <cell r="G1647" t="str">
            <v>UCR0083326</v>
          </cell>
        </row>
        <row r="1648">
          <cell r="A1648">
            <v>1675373</v>
          </cell>
          <cell r="G1648" t="str">
            <v>UCR0083327</v>
          </cell>
        </row>
        <row r="1649">
          <cell r="A1649">
            <v>1675381</v>
          </cell>
          <cell r="G1649" t="str">
            <v>UCR0083328</v>
          </cell>
        </row>
        <row r="1650">
          <cell r="A1650">
            <v>1660267</v>
          </cell>
          <cell r="G1650" t="str">
            <v>UCR0083319</v>
          </cell>
        </row>
        <row r="1651">
          <cell r="A1651">
            <v>1650071</v>
          </cell>
          <cell r="G1651" t="str">
            <v>UCR0083320</v>
          </cell>
        </row>
        <row r="1652">
          <cell r="A1652">
            <v>1660287</v>
          </cell>
          <cell r="G1652" t="str">
            <v>UCR0083406</v>
          </cell>
        </row>
        <row r="1653">
          <cell r="A1653">
            <v>1660296</v>
          </cell>
          <cell r="G1653" t="str">
            <v>UCR0083405</v>
          </cell>
        </row>
        <row r="1654">
          <cell r="A1654">
            <v>1695490</v>
          </cell>
          <cell r="G1654" t="str">
            <v>UCR0083350</v>
          </cell>
        </row>
        <row r="1655">
          <cell r="A1655">
            <v>1648787</v>
          </cell>
          <cell r="G1655" t="str">
            <v>UCR0083400</v>
          </cell>
        </row>
        <row r="1656">
          <cell r="A1656">
            <v>1652556</v>
          </cell>
          <cell r="G1656" t="str">
            <v>UCR0083390</v>
          </cell>
        </row>
        <row r="1657">
          <cell r="A1657">
            <v>1679520</v>
          </cell>
          <cell r="G1657" t="str">
            <v>UCR0083395</v>
          </cell>
        </row>
        <row r="1658">
          <cell r="A1658">
            <v>1652583</v>
          </cell>
          <cell r="G1658" t="str">
            <v>UCR0083380</v>
          </cell>
        </row>
        <row r="1659">
          <cell r="A1659">
            <v>1667093</v>
          </cell>
          <cell r="G1659" t="str">
            <v>UCR0083355</v>
          </cell>
        </row>
        <row r="1660">
          <cell r="A1660">
            <v>1655769</v>
          </cell>
          <cell r="G1660" t="str">
            <v>UCR0083356</v>
          </cell>
        </row>
        <row r="1661">
          <cell r="A1661">
            <v>1655320</v>
          </cell>
          <cell r="G1661" t="str">
            <v>UCR0083384</v>
          </cell>
        </row>
        <row r="1662">
          <cell r="A1662">
            <v>1654175</v>
          </cell>
          <cell r="G1662" t="str">
            <v>UCR0083397</v>
          </cell>
        </row>
        <row r="1663">
          <cell r="A1663">
            <v>1654228</v>
          </cell>
          <cell r="G1663" t="str">
            <v>UCR0083408</v>
          </cell>
        </row>
        <row r="1664">
          <cell r="A1664">
            <v>1654238</v>
          </cell>
          <cell r="G1664" t="str">
            <v>UCR0083407</v>
          </cell>
        </row>
        <row r="1665">
          <cell r="A1665">
            <v>1654191</v>
          </cell>
          <cell r="G1665" t="str">
            <v>UCR0083379</v>
          </cell>
        </row>
        <row r="1666">
          <cell r="A1666">
            <v>1654256</v>
          </cell>
          <cell r="G1666" t="str">
            <v>UCR0083383</v>
          </cell>
        </row>
        <row r="1667">
          <cell r="A1667">
            <v>1655697</v>
          </cell>
          <cell r="G1667" t="str">
            <v>UCR0083391</v>
          </cell>
        </row>
        <row r="1668">
          <cell r="A1668">
            <v>1669580</v>
          </cell>
          <cell r="G1668" t="str">
            <v>UCR0083354</v>
          </cell>
        </row>
        <row r="1669">
          <cell r="A1669">
            <v>1666111</v>
          </cell>
          <cell r="G1669" t="str">
            <v>UCR0083378</v>
          </cell>
        </row>
        <row r="1670">
          <cell r="A1670">
            <v>1671045</v>
          </cell>
          <cell r="G1670" t="str">
            <v>UCR0083389</v>
          </cell>
        </row>
        <row r="1671">
          <cell r="A1671">
            <v>1674937</v>
          </cell>
          <cell r="G1671" t="str">
            <v>UCR0083409</v>
          </cell>
        </row>
        <row r="1672">
          <cell r="A1672">
            <v>1667960</v>
          </cell>
          <cell r="G1672" t="str">
            <v>UCR0083377</v>
          </cell>
        </row>
        <row r="1673">
          <cell r="A1673">
            <v>1671086</v>
          </cell>
          <cell r="G1673" t="str">
            <v>UCR0083401</v>
          </cell>
        </row>
        <row r="1674">
          <cell r="A1674">
            <v>1687752</v>
          </cell>
          <cell r="G1674" t="str">
            <v>UCR0083318</v>
          </cell>
        </row>
        <row r="1675">
          <cell r="A1675">
            <v>1674069</v>
          </cell>
          <cell r="G1675" t="str">
            <v>UCR0083376</v>
          </cell>
        </row>
        <row r="1676">
          <cell r="A1676">
            <v>1674028</v>
          </cell>
          <cell r="G1676" t="str">
            <v>UCR0083386</v>
          </cell>
        </row>
        <row r="1677">
          <cell r="A1677">
            <v>1699178</v>
          </cell>
          <cell r="G1677" t="str">
            <v>UCR0083323</v>
          </cell>
        </row>
        <row r="1678">
          <cell r="A1678">
            <v>1493728</v>
          </cell>
          <cell r="G1678" t="str">
            <v>UCR0111504</v>
          </cell>
        </row>
        <row r="1679">
          <cell r="A1679">
            <v>304536</v>
          </cell>
          <cell r="G1679" t="str">
            <v>UCSB031995</v>
          </cell>
        </row>
        <row r="1680">
          <cell r="A1680">
            <v>304537</v>
          </cell>
          <cell r="G1680" t="str">
            <v>UCSB031994</v>
          </cell>
        </row>
        <row r="1681">
          <cell r="A1681">
            <v>304535</v>
          </cell>
          <cell r="G1681" t="str">
            <v>UCSB031996</v>
          </cell>
        </row>
        <row r="1682">
          <cell r="A1682">
            <v>317992</v>
          </cell>
          <cell r="G1682" t="str">
            <v>UCSB033414</v>
          </cell>
        </row>
        <row r="1683">
          <cell r="A1683">
            <v>3726377</v>
          </cell>
          <cell r="G1683" t="str">
            <v>UCSB054633</v>
          </cell>
        </row>
        <row r="1684">
          <cell r="A1684">
            <v>304539</v>
          </cell>
          <cell r="G1684" t="str">
            <v>UCSB031992</v>
          </cell>
        </row>
        <row r="1685">
          <cell r="A1685">
            <v>304540</v>
          </cell>
          <cell r="G1685" t="str">
            <v>UCSB031991</v>
          </cell>
        </row>
        <row r="1686">
          <cell r="A1686">
            <v>304541</v>
          </cell>
          <cell r="G1686" t="str">
            <v>UCSB031990</v>
          </cell>
        </row>
        <row r="1687">
          <cell r="A1687">
            <v>292926</v>
          </cell>
          <cell r="G1687" t="str">
            <v>UCSB031989</v>
          </cell>
        </row>
        <row r="1688">
          <cell r="A1688">
            <v>304538</v>
          </cell>
          <cell r="G1688" t="str">
            <v>UCSB031993</v>
          </cell>
        </row>
        <row r="1689">
          <cell r="A1689">
            <v>292533</v>
          </cell>
          <cell r="G1689" t="str">
            <v>UCSB038863</v>
          </cell>
        </row>
        <row r="1690">
          <cell r="A1690">
            <v>3964300</v>
          </cell>
          <cell r="G1690" t="str">
            <v>UCSB044460</v>
          </cell>
        </row>
        <row r="1691">
          <cell r="A1691">
            <v>304566</v>
          </cell>
          <cell r="G1691" t="str">
            <v>UCSB032030</v>
          </cell>
        </row>
        <row r="1692">
          <cell r="A1692">
            <v>304556</v>
          </cell>
          <cell r="G1692" t="str">
            <v>UCSB032011</v>
          </cell>
        </row>
        <row r="1693">
          <cell r="A1693">
            <v>304543</v>
          </cell>
          <cell r="G1693" t="str">
            <v>UCSB032009</v>
          </cell>
        </row>
        <row r="1694">
          <cell r="A1694">
            <v>304554</v>
          </cell>
          <cell r="G1694" t="str">
            <v>UCSB031998</v>
          </cell>
        </row>
        <row r="1695">
          <cell r="A1695">
            <v>304571</v>
          </cell>
          <cell r="G1695" t="str">
            <v>UCSB032026</v>
          </cell>
        </row>
        <row r="1696">
          <cell r="A1696">
            <v>304597</v>
          </cell>
          <cell r="G1696" t="str">
            <v>UCSB032064</v>
          </cell>
        </row>
        <row r="1697">
          <cell r="A1697">
            <v>304567</v>
          </cell>
          <cell r="G1697" t="str">
            <v>UCSB032031</v>
          </cell>
        </row>
        <row r="1698">
          <cell r="A1698">
            <v>304575</v>
          </cell>
          <cell r="G1698" t="str">
            <v>UCSB032024</v>
          </cell>
        </row>
        <row r="1699">
          <cell r="A1699">
            <v>304573</v>
          </cell>
          <cell r="G1699" t="str">
            <v>UCSB032028</v>
          </cell>
        </row>
        <row r="1700">
          <cell r="A1700">
            <v>304602</v>
          </cell>
          <cell r="G1700" t="str">
            <v>UCSB032059</v>
          </cell>
        </row>
        <row r="1701">
          <cell r="A1701">
            <v>304604</v>
          </cell>
          <cell r="G1701" t="str">
            <v>UCSB032057</v>
          </cell>
        </row>
        <row r="1702">
          <cell r="A1702">
            <v>304603</v>
          </cell>
          <cell r="G1702" t="str">
            <v>UCSB032058</v>
          </cell>
        </row>
        <row r="1703">
          <cell r="A1703">
            <v>304594</v>
          </cell>
          <cell r="G1703" t="str">
            <v>UCSB032036</v>
          </cell>
        </row>
        <row r="1704">
          <cell r="A1704">
            <v>304595</v>
          </cell>
          <cell r="G1704" t="str">
            <v>UCSB032035</v>
          </cell>
        </row>
        <row r="1705">
          <cell r="A1705">
            <v>304578</v>
          </cell>
          <cell r="G1705" t="str">
            <v>UCSB032033</v>
          </cell>
        </row>
        <row r="1706">
          <cell r="A1706">
            <v>304552</v>
          </cell>
          <cell r="G1706" t="str">
            <v>UCSB032000</v>
          </cell>
        </row>
        <row r="1707">
          <cell r="A1707">
            <v>304569</v>
          </cell>
          <cell r="G1707" t="str">
            <v>UCSB032029</v>
          </cell>
        </row>
        <row r="1708">
          <cell r="A1708">
            <v>304570</v>
          </cell>
          <cell r="G1708" t="str">
            <v>UCSB032025</v>
          </cell>
        </row>
        <row r="1709">
          <cell r="A1709">
            <v>304572</v>
          </cell>
          <cell r="G1709" t="str">
            <v>UCSB032027</v>
          </cell>
        </row>
        <row r="1710">
          <cell r="A1710">
            <v>304598</v>
          </cell>
          <cell r="G1710" t="str">
            <v>UCSB032063</v>
          </cell>
        </row>
        <row r="1711">
          <cell r="A1711">
            <v>304605</v>
          </cell>
          <cell r="G1711" t="str">
            <v>UCSB032056</v>
          </cell>
        </row>
        <row r="1712">
          <cell r="A1712">
            <v>304574</v>
          </cell>
          <cell r="G1712" t="str">
            <v>UCSB032023</v>
          </cell>
        </row>
        <row r="1713">
          <cell r="A1713">
            <v>304551</v>
          </cell>
          <cell r="G1713" t="str">
            <v>UCSB032001</v>
          </cell>
        </row>
        <row r="1714">
          <cell r="A1714">
            <v>304580</v>
          </cell>
          <cell r="G1714" t="str">
            <v>UCSB032051</v>
          </cell>
        </row>
        <row r="1715">
          <cell r="A1715">
            <v>304581</v>
          </cell>
          <cell r="G1715" t="str">
            <v>UCSB032050</v>
          </cell>
        </row>
        <row r="1716">
          <cell r="A1716">
            <v>304582</v>
          </cell>
          <cell r="G1716" t="str">
            <v>UCSB032049</v>
          </cell>
        </row>
        <row r="1717">
          <cell r="A1717">
            <v>304583</v>
          </cell>
          <cell r="G1717" t="str">
            <v>UCSB032048</v>
          </cell>
        </row>
        <row r="1718">
          <cell r="A1718">
            <v>304584</v>
          </cell>
          <cell r="G1718" t="str">
            <v>UCSB032047</v>
          </cell>
        </row>
        <row r="1719">
          <cell r="A1719">
            <v>304585</v>
          </cell>
          <cell r="G1719" t="str">
            <v>UCSB032046</v>
          </cell>
        </row>
        <row r="1720">
          <cell r="A1720">
            <v>304586</v>
          </cell>
          <cell r="G1720" t="str">
            <v>UCSB032045</v>
          </cell>
        </row>
        <row r="1721">
          <cell r="A1721">
            <v>304587</v>
          </cell>
          <cell r="G1721" t="str">
            <v>UCSB032044</v>
          </cell>
        </row>
        <row r="1722">
          <cell r="A1722">
            <v>304588</v>
          </cell>
          <cell r="G1722" t="str">
            <v>UCSB032043</v>
          </cell>
        </row>
        <row r="1723">
          <cell r="A1723">
            <v>304601</v>
          </cell>
          <cell r="G1723" t="str">
            <v>UCSB032060</v>
          </cell>
        </row>
        <row r="1724">
          <cell r="A1724">
            <v>304568</v>
          </cell>
          <cell r="G1724" t="str">
            <v>UCSB032032</v>
          </cell>
        </row>
        <row r="1725">
          <cell r="A1725">
            <v>304592</v>
          </cell>
          <cell r="G1725" t="str">
            <v>UCSB032038</v>
          </cell>
        </row>
        <row r="1726">
          <cell r="A1726">
            <v>304606</v>
          </cell>
          <cell r="G1726" t="str">
            <v>UCSB032055</v>
          </cell>
        </row>
        <row r="1727">
          <cell r="A1727">
            <v>304599</v>
          </cell>
          <cell r="G1727" t="str">
            <v>UCSB032062</v>
          </cell>
        </row>
        <row r="1728">
          <cell r="A1728">
            <v>304600</v>
          </cell>
          <cell r="G1728" t="str">
            <v>UCSB032061</v>
          </cell>
        </row>
        <row r="1729">
          <cell r="A1729">
            <v>304579</v>
          </cell>
          <cell r="G1729" t="str">
            <v>UCSB032034</v>
          </cell>
        </row>
        <row r="1730">
          <cell r="A1730">
            <v>304577</v>
          </cell>
          <cell r="G1730" t="str">
            <v>UCSB032021</v>
          </cell>
        </row>
        <row r="1731">
          <cell r="A1731">
            <v>304593</v>
          </cell>
          <cell r="G1731" t="str">
            <v>UCSB032037</v>
          </cell>
        </row>
        <row r="1732">
          <cell r="A1732">
            <v>304591</v>
          </cell>
          <cell r="G1732" t="str">
            <v>UCSB032039</v>
          </cell>
        </row>
        <row r="1733">
          <cell r="A1733">
            <v>355769</v>
          </cell>
          <cell r="G1733" t="str">
            <v>UCSB_SCIRH00152</v>
          </cell>
        </row>
        <row r="1734">
          <cell r="A1734">
            <v>304555</v>
          </cell>
          <cell r="G1734" t="str">
            <v>UCSB031997</v>
          </cell>
        </row>
        <row r="1735">
          <cell r="A1735">
            <v>304550</v>
          </cell>
          <cell r="G1735" t="str">
            <v>UCSB032002</v>
          </cell>
        </row>
        <row r="1736">
          <cell r="A1736">
            <v>355768</v>
          </cell>
          <cell r="G1736" t="str">
            <v>UCSB_SCIRH00151</v>
          </cell>
        </row>
        <row r="1737">
          <cell r="A1737">
            <v>304547</v>
          </cell>
          <cell r="G1737" t="str">
            <v>UCSB032005</v>
          </cell>
        </row>
        <row r="1738">
          <cell r="A1738">
            <v>304548</v>
          </cell>
          <cell r="G1738" t="str">
            <v>UCSB032004</v>
          </cell>
        </row>
        <row r="1739">
          <cell r="A1739">
            <v>304558</v>
          </cell>
          <cell r="G1739" t="str">
            <v>UCSB032013</v>
          </cell>
        </row>
        <row r="1740">
          <cell r="A1740">
            <v>304557</v>
          </cell>
          <cell r="G1740" t="str">
            <v>UCSB032012</v>
          </cell>
        </row>
        <row r="1741">
          <cell r="A1741">
            <v>304559</v>
          </cell>
          <cell r="G1741" t="str">
            <v>UCSB032014</v>
          </cell>
        </row>
        <row r="1742">
          <cell r="A1742">
            <v>304560</v>
          </cell>
          <cell r="G1742" t="str">
            <v>UCSB032015</v>
          </cell>
        </row>
        <row r="1743">
          <cell r="A1743">
            <v>304561</v>
          </cell>
          <cell r="G1743" t="str">
            <v>UCSB032016</v>
          </cell>
        </row>
        <row r="1744">
          <cell r="A1744">
            <v>304596</v>
          </cell>
          <cell r="G1744" t="str">
            <v>UCSB032065</v>
          </cell>
        </row>
        <row r="1745">
          <cell r="A1745">
            <v>304549</v>
          </cell>
          <cell r="G1745" t="str">
            <v>UCSB032003</v>
          </cell>
        </row>
        <row r="1746">
          <cell r="A1746">
            <v>3726378</v>
          </cell>
          <cell r="G1746" t="str">
            <v>UCSB054632</v>
          </cell>
        </row>
        <row r="1747">
          <cell r="A1747">
            <v>304553</v>
          </cell>
          <cell r="G1747" t="str">
            <v>UCSB031999</v>
          </cell>
        </row>
        <row r="1748">
          <cell r="A1748">
            <v>304545</v>
          </cell>
          <cell r="G1748" t="str">
            <v>UCSB032007</v>
          </cell>
        </row>
        <row r="1749">
          <cell r="A1749">
            <v>330070</v>
          </cell>
          <cell r="G1749" t="str">
            <v>UCSB040102</v>
          </cell>
        </row>
        <row r="1750">
          <cell r="A1750">
            <v>304607</v>
          </cell>
          <cell r="G1750" t="str">
            <v>UCSB032054</v>
          </cell>
        </row>
        <row r="1751">
          <cell r="A1751">
            <v>304608</v>
          </cell>
          <cell r="G1751" t="str">
            <v>UCSB032053</v>
          </cell>
        </row>
        <row r="1752">
          <cell r="A1752">
            <v>355727</v>
          </cell>
          <cell r="G1752" t="str">
            <v>UCSB_SCIRH001357</v>
          </cell>
        </row>
        <row r="1753">
          <cell r="A1753">
            <v>304542</v>
          </cell>
          <cell r="G1753" t="str">
            <v>UCSB032010</v>
          </cell>
        </row>
        <row r="1754">
          <cell r="A1754">
            <v>355726</v>
          </cell>
          <cell r="G1754" t="str">
            <v>UCSB_SCIRH001356</v>
          </cell>
        </row>
        <row r="1755">
          <cell r="A1755">
            <v>304589</v>
          </cell>
          <cell r="G1755" t="str">
            <v>UCSB032042</v>
          </cell>
        </row>
        <row r="1756">
          <cell r="A1756">
            <v>291609</v>
          </cell>
          <cell r="G1756" t="str">
            <v>UCSB032066</v>
          </cell>
        </row>
        <row r="1757">
          <cell r="A1757">
            <v>304544</v>
          </cell>
          <cell r="G1757" t="str">
            <v>UCSB032008</v>
          </cell>
        </row>
        <row r="1758">
          <cell r="A1758">
            <v>355751</v>
          </cell>
          <cell r="G1758" t="str">
            <v>UCSB_SCIRH001452</v>
          </cell>
        </row>
        <row r="1759">
          <cell r="A1759">
            <v>304563</v>
          </cell>
          <cell r="G1759" t="str">
            <v>UCSB032018</v>
          </cell>
        </row>
        <row r="1760">
          <cell r="A1760">
            <v>304546</v>
          </cell>
          <cell r="G1760" t="str">
            <v>UCSB032006</v>
          </cell>
        </row>
        <row r="1761">
          <cell r="A1761">
            <v>304590</v>
          </cell>
          <cell r="G1761" t="str">
            <v>UCSB032041</v>
          </cell>
        </row>
        <row r="1762">
          <cell r="A1762">
            <v>304562</v>
          </cell>
          <cell r="G1762" t="str">
            <v>UCSB032017</v>
          </cell>
        </row>
        <row r="1763">
          <cell r="A1763">
            <v>304564</v>
          </cell>
          <cell r="G1763" t="str">
            <v>UCSB032019</v>
          </cell>
        </row>
        <row r="1764">
          <cell r="A1764">
            <v>304565</v>
          </cell>
          <cell r="G1764" t="str">
            <v>UCSB032020</v>
          </cell>
        </row>
        <row r="1765">
          <cell r="A1765">
            <v>293450</v>
          </cell>
          <cell r="G1765" t="str">
            <v>UCSB032040</v>
          </cell>
        </row>
        <row r="1766">
          <cell r="A1766">
            <v>330069</v>
          </cell>
          <cell r="G1766" t="str">
            <v>UCSB040101</v>
          </cell>
        </row>
        <row r="1767">
          <cell r="A1767">
            <v>1896191</v>
          </cell>
          <cell r="G1767" t="str">
            <v>UCSB041759</v>
          </cell>
        </row>
        <row r="1768">
          <cell r="A1768">
            <v>1895626</v>
          </cell>
          <cell r="G1768" t="str">
            <v>UCSB041178</v>
          </cell>
        </row>
        <row r="1769">
          <cell r="A1769">
            <v>4064867</v>
          </cell>
          <cell r="G1769" t="str">
            <v>UCSB050386</v>
          </cell>
        </row>
        <row r="1770">
          <cell r="A1770">
            <v>4588064</v>
          </cell>
          <cell r="G1770" t="str">
            <v>UCSB057874</v>
          </cell>
        </row>
        <row r="1771">
          <cell r="A1771">
            <v>236700</v>
          </cell>
          <cell r="G1771" t="str">
            <v>UCSC100000689</v>
          </cell>
        </row>
        <row r="1772">
          <cell r="A1772">
            <v>236311</v>
          </cell>
          <cell r="G1772" t="str">
            <v>UCSC100000688</v>
          </cell>
        </row>
        <row r="1773">
          <cell r="A1773">
            <v>239984</v>
          </cell>
        </row>
        <row r="1774">
          <cell r="A1774">
            <v>240241</v>
          </cell>
        </row>
        <row r="1775">
          <cell r="A1775">
            <v>240441</v>
          </cell>
        </row>
        <row r="1776">
          <cell r="A1776">
            <v>240045</v>
          </cell>
        </row>
        <row r="1777">
          <cell r="A1777">
            <v>2207336</v>
          </cell>
        </row>
        <row r="1778">
          <cell r="A1778">
            <v>229779</v>
          </cell>
          <cell r="G1778" t="str">
            <v>UCSC100000692</v>
          </cell>
        </row>
        <row r="1779">
          <cell r="A1779">
            <v>4064454</v>
          </cell>
          <cell r="G1779" t="str">
            <v>UCSC100000696</v>
          </cell>
        </row>
        <row r="1780">
          <cell r="A1780">
            <v>232773</v>
          </cell>
          <cell r="G1780" t="str">
            <v>UCSC100000691</v>
          </cell>
        </row>
        <row r="1781">
          <cell r="A1781">
            <v>231693</v>
          </cell>
          <cell r="G1781" t="str">
            <v>UCSC100000695</v>
          </cell>
        </row>
        <row r="1782">
          <cell r="A1782">
            <v>231694</v>
          </cell>
          <cell r="G1782" t="str">
            <v>UCSC100000694</v>
          </cell>
        </row>
        <row r="1783">
          <cell r="A1783">
            <v>231367</v>
          </cell>
          <cell r="G1783" t="str">
            <v>UCSC100000693</v>
          </cell>
        </row>
        <row r="1784">
          <cell r="A1784">
            <v>235906</v>
          </cell>
          <cell r="G1784" t="str">
            <v>UCSC100000697</v>
          </cell>
        </row>
        <row r="1785">
          <cell r="A1785">
            <v>236400</v>
          </cell>
          <cell r="G1785" t="str">
            <v>UCSC100000698</v>
          </cell>
        </row>
        <row r="1786">
          <cell r="A1786">
            <v>238791</v>
          </cell>
          <cell r="G1786" t="str">
            <v>UCSC100000690</v>
          </cell>
        </row>
        <row r="1787">
          <cell r="A1787">
            <v>240097</v>
          </cell>
        </row>
        <row r="1788">
          <cell r="A1788">
            <v>240297</v>
          </cell>
        </row>
        <row r="1789">
          <cell r="A1789">
            <v>239908</v>
          </cell>
        </row>
        <row r="1790">
          <cell r="A1790">
            <v>239858</v>
          </cell>
        </row>
        <row r="1791">
          <cell r="A1791">
            <v>240208</v>
          </cell>
        </row>
        <row r="1792">
          <cell r="A1792">
            <v>240408</v>
          </cell>
        </row>
        <row r="1793">
          <cell r="A1793">
            <v>240225</v>
          </cell>
        </row>
        <row r="1794">
          <cell r="A1794">
            <v>240425</v>
          </cell>
        </row>
        <row r="1795">
          <cell r="A1795">
            <v>240237</v>
          </cell>
        </row>
        <row r="1796">
          <cell r="A1796">
            <v>240437</v>
          </cell>
        </row>
        <row r="1797">
          <cell r="A1797">
            <v>239881</v>
          </cell>
        </row>
        <row r="1798">
          <cell r="A1798">
            <v>240217</v>
          </cell>
        </row>
        <row r="1799">
          <cell r="A1799">
            <v>240417</v>
          </cell>
        </row>
        <row r="1800">
          <cell r="A1800">
            <v>240160</v>
          </cell>
        </row>
        <row r="1801">
          <cell r="A1801">
            <v>240360</v>
          </cell>
        </row>
        <row r="1802">
          <cell r="A1802">
            <v>239971</v>
          </cell>
        </row>
        <row r="1803">
          <cell r="A1803">
            <v>240127</v>
          </cell>
        </row>
        <row r="1804">
          <cell r="A1804">
            <v>240327</v>
          </cell>
        </row>
        <row r="1805">
          <cell r="A1805">
            <v>240030</v>
          </cell>
        </row>
        <row r="1806">
          <cell r="A1806">
            <v>240048</v>
          </cell>
        </row>
        <row r="1807">
          <cell r="A1807">
            <v>240008</v>
          </cell>
        </row>
        <row r="1808">
          <cell r="A1808">
            <v>240188</v>
          </cell>
        </row>
        <row r="1809">
          <cell r="A1809">
            <v>240388</v>
          </cell>
        </row>
        <row r="1810">
          <cell r="A1810">
            <v>3590166</v>
          </cell>
          <cell r="G1810" t="str">
            <v>UCSC100003138</v>
          </cell>
        </row>
        <row r="1811">
          <cell r="A1811">
            <v>3590297</v>
          </cell>
        </row>
        <row r="1812">
          <cell r="A1812">
            <v>2207216</v>
          </cell>
        </row>
        <row r="1813">
          <cell r="A1813">
            <v>2207374</v>
          </cell>
        </row>
        <row r="1814">
          <cell r="A1814">
            <v>3590276</v>
          </cell>
          <cell r="G1814" t="str">
            <v>UCSC100003126</v>
          </cell>
        </row>
        <row r="1815">
          <cell r="A1815">
            <v>2207182</v>
          </cell>
        </row>
        <row r="1816">
          <cell r="A1816">
            <v>2207282</v>
          </cell>
        </row>
        <row r="1817">
          <cell r="A1817">
            <v>2207251</v>
          </cell>
        </row>
        <row r="1818">
          <cell r="A1818">
            <v>2207308</v>
          </cell>
        </row>
        <row r="1819">
          <cell r="A1819">
            <v>2207207</v>
          </cell>
        </row>
        <row r="1820">
          <cell r="A1820">
            <v>2207224</v>
          </cell>
        </row>
        <row r="1821">
          <cell r="A1821">
            <v>2207423</v>
          </cell>
        </row>
        <row r="1822">
          <cell r="A1822">
            <v>2207339</v>
          </cell>
        </row>
        <row r="1823">
          <cell r="A1823">
            <v>2207273</v>
          </cell>
        </row>
        <row r="1824">
          <cell r="A1824">
            <v>2207437</v>
          </cell>
        </row>
        <row r="1825">
          <cell r="A1825">
            <v>2207312</v>
          </cell>
        </row>
        <row r="1826">
          <cell r="A1826">
            <v>2207186</v>
          </cell>
        </row>
        <row r="1827">
          <cell r="A1827">
            <v>2207434</v>
          </cell>
        </row>
        <row r="1828">
          <cell r="A1828">
            <v>2207383</v>
          </cell>
        </row>
        <row r="1829">
          <cell r="A1829">
            <v>3826742</v>
          </cell>
        </row>
        <row r="1830">
          <cell r="A1830">
            <v>3826866</v>
          </cell>
        </row>
        <row r="1831">
          <cell r="A1831">
            <v>3827089</v>
          </cell>
        </row>
        <row r="1832">
          <cell r="A1832">
            <v>3826916</v>
          </cell>
        </row>
        <row r="1833">
          <cell r="A1833">
            <v>3827041</v>
          </cell>
        </row>
        <row r="1834">
          <cell r="A1834">
            <v>3826971</v>
          </cell>
        </row>
        <row r="1835">
          <cell r="A1835">
            <v>3826872</v>
          </cell>
        </row>
        <row r="1836">
          <cell r="A1836">
            <v>3826803</v>
          </cell>
        </row>
        <row r="1837">
          <cell r="A1837">
            <v>3827001</v>
          </cell>
        </row>
        <row r="1838">
          <cell r="A1838">
            <v>4001616</v>
          </cell>
          <cell r="G1838" t="str">
            <v>09018</v>
          </cell>
        </row>
        <row r="1839">
          <cell r="A1839">
            <v>4011670</v>
          </cell>
          <cell r="G1839">
            <v>18984</v>
          </cell>
        </row>
        <row r="1840">
          <cell r="A1840">
            <v>4020835</v>
          </cell>
          <cell r="G1840">
            <v>28067</v>
          </cell>
        </row>
        <row r="1841">
          <cell r="A1841">
            <v>4058869</v>
          </cell>
          <cell r="G1841">
            <v>65350</v>
          </cell>
        </row>
        <row r="1842">
          <cell r="A1842">
            <v>4821653</v>
          </cell>
          <cell r="G1842" t="str">
            <v>US 465345</v>
          </cell>
        </row>
        <row r="1843">
          <cell r="A1843">
            <v>4830361</v>
          </cell>
          <cell r="G1843" t="str">
            <v>US 874348</v>
          </cell>
        </row>
        <row r="1844">
          <cell r="A1844">
            <v>4875033</v>
          </cell>
          <cell r="G1844" t="str">
            <v>US 6500</v>
          </cell>
        </row>
        <row r="1845">
          <cell r="A1845">
            <v>4848896</v>
          </cell>
          <cell r="G1845" t="str">
            <v>US 320538</v>
          </cell>
        </row>
        <row r="1846">
          <cell r="A1846">
            <v>4929046</v>
          </cell>
          <cell r="G1846" t="str">
            <v>US 320539</v>
          </cell>
        </row>
        <row r="1847">
          <cell r="A1847">
            <v>5009796</v>
          </cell>
          <cell r="G1847" t="str">
            <v>US 238201</v>
          </cell>
        </row>
        <row r="1848">
          <cell r="A1848">
            <v>4981056</v>
          </cell>
          <cell r="G1848" t="str">
            <v>US 299174</v>
          </cell>
        </row>
        <row r="1849">
          <cell r="A1849">
            <v>4901886</v>
          </cell>
          <cell r="G1849" t="str">
            <v>US 349903</v>
          </cell>
        </row>
        <row r="1850">
          <cell r="A1850">
            <v>4910638</v>
          </cell>
          <cell r="G1850" t="str">
            <v>US 467936</v>
          </cell>
        </row>
        <row r="1851">
          <cell r="A1851">
            <v>4892598</v>
          </cell>
          <cell r="G1851" t="str">
            <v>US 610713</v>
          </cell>
        </row>
        <row r="1852">
          <cell r="A1852">
            <v>4892287</v>
          </cell>
          <cell r="G1852" t="str">
            <v>US 880131</v>
          </cell>
        </row>
        <row r="1853">
          <cell r="A1853">
            <v>5001849</v>
          </cell>
          <cell r="G1853" t="str">
            <v>US 765571</v>
          </cell>
        </row>
        <row r="1854">
          <cell r="A1854">
            <v>4971847</v>
          </cell>
          <cell r="G1854" t="str">
            <v>US 1201152</v>
          </cell>
        </row>
        <row r="1855">
          <cell r="A1855">
            <v>4940224</v>
          </cell>
          <cell r="G1855" t="str">
            <v>US 2000728</v>
          </cell>
        </row>
        <row r="1856">
          <cell r="A1856">
            <v>4947933</v>
          </cell>
          <cell r="G1856" t="str">
            <v>US 3492194</v>
          </cell>
        </row>
        <row r="1857">
          <cell r="A1857">
            <v>2963408</v>
          </cell>
          <cell r="G1857" t="str">
            <v>YOSE109090</v>
          </cell>
        </row>
        <row r="1858">
          <cell r="A1858">
            <v>2966793</v>
          </cell>
          <cell r="G1858" t="str">
            <v>YOSE225087</v>
          </cell>
        </row>
        <row r="1859">
          <cell r="A1859">
            <v>2970754</v>
          </cell>
          <cell r="G1859" t="str">
            <v>YOSE65260</v>
          </cell>
        </row>
        <row r="1860">
          <cell r="A1860">
            <v>2963409</v>
          </cell>
          <cell r="G1860" t="str">
            <v>YOSE109091</v>
          </cell>
        </row>
        <row r="1861">
          <cell r="A1861" t="str">
            <v>id</v>
          </cell>
          <cell r="G1861" t="str">
            <v>catalogNumber</v>
          </cell>
        </row>
        <row r="1863">
          <cell r="A1863">
            <v>1337204</v>
          </cell>
          <cell r="G1863" t="str">
            <v>DAV300671</v>
          </cell>
        </row>
        <row r="1864">
          <cell r="A1864">
            <v>1302899</v>
          </cell>
          <cell r="G1864" t="str">
            <v>DAV300672</v>
          </cell>
        </row>
        <row r="1865">
          <cell r="A1865">
            <v>1367990</v>
          </cell>
          <cell r="G1865" t="str">
            <v>DAV300673</v>
          </cell>
        </row>
        <row r="1866">
          <cell r="A1866">
            <v>1368038</v>
          </cell>
          <cell r="G1866" t="str">
            <v>DAV010561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2C8B-9E5D-724A-A977-A3416D7E67E5}">
  <dimension ref="A1:S69"/>
  <sheetViews>
    <sheetView tabSelected="1" zoomScale="115" zoomScaleNormal="130" workbookViewId="0">
      <pane ySplit="1" topLeftCell="A22" activePane="bottomLeft" state="frozen"/>
      <selection pane="bottomLeft" activeCell="K36" sqref="K36"/>
    </sheetView>
  </sheetViews>
  <sheetFormatPr baseColWidth="10" defaultRowHeight="16" x14ac:dyDescent="0.2"/>
  <cols>
    <col min="1" max="1" width="7" bestFit="1" customWidth="1"/>
    <col min="2" max="2" width="8.83203125" customWidth="1"/>
    <col min="3" max="3" width="15" bestFit="1" customWidth="1"/>
    <col min="4" max="4" width="5.1640625" bestFit="1" customWidth="1"/>
    <col min="5" max="5" width="7.33203125" bestFit="1" customWidth="1"/>
    <col min="6" max="6" width="8.83203125" bestFit="1" customWidth="1"/>
    <col min="8" max="8" width="9" bestFit="1" customWidth="1"/>
    <col min="9" max="9" width="9.83203125" bestFit="1" customWidth="1"/>
    <col min="10" max="11" width="7.83203125" bestFit="1" customWidth="1"/>
    <col min="12" max="12" width="10.83203125" bestFit="1" customWidth="1"/>
    <col min="13" max="13" width="10.83203125" customWidth="1"/>
  </cols>
  <sheetData>
    <row r="1" spans="1:19" x14ac:dyDescent="0.2">
      <c r="A1" t="s">
        <v>0</v>
      </c>
      <c r="B1" t="s">
        <v>9</v>
      </c>
      <c r="C1" t="s">
        <v>1</v>
      </c>
      <c r="D1" t="s">
        <v>14</v>
      </c>
      <c r="E1" t="s">
        <v>72</v>
      </c>
      <c r="F1" t="s">
        <v>15</v>
      </c>
      <c r="G1" t="s">
        <v>23</v>
      </c>
      <c r="H1" t="s">
        <v>71</v>
      </c>
      <c r="I1" t="s">
        <v>70</v>
      </c>
      <c r="J1" t="s">
        <v>2</v>
      </c>
      <c r="K1" t="s">
        <v>3</v>
      </c>
      <c r="L1" t="s">
        <v>69</v>
      </c>
      <c r="M1" t="s">
        <v>156</v>
      </c>
      <c r="N1" t="s">
        <v>22</v>
      </c>
      <c r="O1" t="s">
        <v>67</v>
      </c>
      <c r="P1" t="s">
        <v>101</v>
      </c>
      <c r="Q1" t="s">
        <v>171</v>
      </c>
      <c r="R1" t="s">
        <v>172</v>
      </c>
      <c r="S1" t="s">
        <v>173</v>
      </c>
    </row>
    <row r="2" spans="1:19" x14ac:dyDescent="0.2">
      <c r="A2" t="s">
        <v>4</v>
      </c>
      <c r="B2">
        <v>1327836</v>
      </c>
      <c r="C2" t="s">
        <v>10</v>
      </c>
      <c r="D2">
        <v>2000</v>
      </c>
      <c r="E2">
        <v>11.7</v>
      </c>
      <c r="F2" t="s">
        <v>16</v>
      </c>
      <c r="G2" t="s">
        <v>20</v>
      </c>
      <c r="H2">
        <v>4.05</v>
      </c>
      <c r="I2">
        <v>10.4</v>
      </c>
      <c r="J2">
        <v>1.51</v>
      </c>
      <c r="K2">
        <v>1.1499999999999999</v>
      </c>
      <c r="L2" t="s">
        <v>87</v>
      </c>
      <c r="M2" t="s">
        <v>157</v>
      </c>
      <c r="P2">
        <v>250325</v>
      </c>
      <c r="Q2" t="s">
        <v>157</v>
      </c>
    </row>
    <row r="3" spans="1:19" x14ac:dyDescent="0.2">
      <c r="A3" t="s">
        <v>5</v>
      </c>
      <c r="B3">
        <v>1368009</v>
      </c>
      <c r="C3" t="s">
        <v>11</v>
      </c>
      <c r="D3">
        <v>2007</v>
      </c>
      <c r="E3">
        <v>8.3000000000000007</v>
      </c>
      <c r="F3" t="s">
        <v>17</v>
      </c>
      <c r="G3" t="s">
        <v>18</v>
      </c>
      <c r="H3">
        <v>33.5</v>
      </c>
      <c r="I3">
        <v>53.6</v>
      </c>
      <c r="J3">
        <v>1.83</v>
      </c>
      <c r="K3">
        <v>5.45</v>
      </c>
      <c r="L3" t="s">
        <v>74</v>
      </c>
      <c r="M3" t="s">
        <v>157</v>
      </c>
      <c r="P3">
        <v>250325</v>
      </c>
      <c r="Q3" t="s">
        <v>157</v>
      </c>
    </row>
    <row r="4" spans="1:19" x14ac:dyDescent="0.2">
      <c r="A4" t="s">
        <v>6</v>
      </c>
      <c r="B4">
        <v>1392578</v>
      </c>
      <c r="C4" t="s">
        <v>12</v>
      </c>
      <c r="D4">
        <v>2013</v>
      </c>
      <c r="E4">
        <v>2.5</v>
      </c>
      <c r="F4" t="s">
        <v>16</v>
      </c>
      <c r="G4" t="s">
        <v>19</v>
      </c>
      <c r="H4">
        <v>24.5</v>
      </c>
      <c r="I4">
        <v>31.7</v>
      </c>
      <c r="J4">
        <v>1.83</v>
      </c>
      <c r="K4">
        <v>51.93</v>
      </c>
      <c r="L4" t="s">
        <v>74</v>
      </c>
      <c r="M4" t="s">
        <v>157</v>
      </c>
      <c r="P4">
        <v>250325</v>
      </c>
      <c r="Q4" t="s">
        <v>157</v>
      </c>
    </row>
    <row r="5" spans="1:19" x14ac:dyDescent="0.2">
      <c r="A5" t="s">
        <v>7</v>
      </c>
      <c r="B5">
        <v>2963303</v>
      </c>
      <c r="C5" t="s">
        <v>13</v>
      </c>
      <c r="D5">
        <v>2019</v>
      </c>
      <c r="E5">
        <v>3.3</v>
      </c>
      <c r="F5" t="s">
        <v>16</v>
      </c>
      <c r="G5" t="s">
        <v>21</v>
      </c>
      <c r="H5">
        <v>26.1</v>
      </c>
      <c r="I5">
        <v>28.6</v>
      </c>
      <c r="J5">
        <v>1.76</v>
      </c>
      <c r="K5">
        <v>1.05</v>
      </c>
      <c r="L5" t="s">
        <v>88</v>
      </c>
      <c r="M5" t="s">
        <v>157</v>
      </c>
      <c r="P5">
        <v>250325</v>
      </c>
      <c r="Q5" t="s">
        <v>157</v>
      </c>
    </row>
    <row r="6" spans="1:19" x14ac:dyDescent="0.2">
      <c r="A6" t="s">
        <v>37</v>
      </c>
      <c r="B6">
        <v>202449</v>
      </c>
      <c r="C6" t="s">
        <v>24</v>
      </c>
      <c r="D6">
        <v>2001</v>
      </c>
      <c r="E6">
        <v>10.3</v>
      </c>
      <c r="F6" t="s">
        <v>16</v>
      </c>
      <c r="G6" s="1" t="s">
        <v>53</v>
      </c>
      <c r="H6">
        <v>1.86</v>
      </c>
      <c r="I6">
        <v>6.1</v>
      </c>
      <c r="J6">
        <v>1.45</v>
      </c>
      <c r="K6">
        <v>-5.75</v>
      </c>
      <c r="L6" t="s">
        <v>91</v>
      </c>
      <c r="M6" t="s">
        <v>157</v>
      </c>
      <c r="P6">
        <v>250411</v>
      </c>
      <c r="Q6" t="s">
        <v>157</v>
      </c>
    </row>
    <row r="7" spans="1:19" x14ac:dyDescent="0.2">
      <c r="A7" t="s">
        <v>40</v>
      </c>
      <c r="B7">
        <v>202480</v>
      </c>
      <c r="C7" t="s">
        <v>27</v>
      </c>
      <c r="D7">
        <v>2004</v>
      </c>
      <c r="E7">
        <v>3.6</v>
      </c>
      <c r="F7" t="s">
        <v>16</v>
      </c>
      <c r="G7" s="1" t="s">
        <v>55</v>
      </c>
      <c r="H7">
        <v>7</v>
      </c>
      <c r="I7">
        <v>15.1</v>
      </c>
      <c r="J7">
        <v>1.78</v>
      </c>
      <c r="K7">
        <v>4.21</v>
      </c>
      <c r="L7" t="s">
        <v>94</v>
      </c>
      <c r="M7" t="s">
        <v>157</v>
      </c>
      <c r="P7">
        <v>250411</v>
      </c>
      <c r="Q7" t="s">
        <v>157</v>
      </c>
      <c r="R7" s="5" t="s">
        <v>121</v>
      </c>
      <c r="S7" s="4" t="s">
        <v>124</v>
      </c>
    </row>
    <row r="8" spans="1:19" x14ac:dyDescent="0.2">
      <c r="A8" t="s">
        <v>44</v>
      </c>
      <c r="B8">
        <v>216778</v>
      </c>
      <c r="C8" t="s">
        <v>31</v>
      </c>
      <c r="D8">
        <v>2016</v>
      </c>
      <c r="E8">
        <v>14.1</v>
      </c>
      <c r="F8" t="s">
        <v>16</v>
      </c>
      <c r="G8" s="1" t="s">
        <v>59</v>
      </c>
      <c r="H8">
        <v>8.32</v>
      </c>
      <c r="I8">
        <v>9.9</v>
      </c>
      <c r="J8">
        <v>1.65</v>
      </c>
      <c r="K8">
        <v>-0.7</v>
      </c>
      <c r="L8" t="s">
        <v>96</v>
      </c>
      <c r="M8" t="s">
        <v>157</v>
      </c>
      <c r="P8">
        <v>250411</v>
      </c>
      <c r="Q8" t="s">
        <v>157</v>
      </c>
    </row>
    <row r="9" spans="1:19" x14ac:dyDescent="0.2">
      <c r="A9" t="s">
        <v>45</v>
      </c>
      <c r="B9">
        <v>215180</v>
      </c>
      <c r="C9" t="s">
        <v>32</v>
      </c>
      <c r="D9">
        <v>2017</v>
      </c>
      <c r="E9">
        <v>9.3000000000000007</v>
      </c>
      <c r="F9" t="s">
        <v>16</v>
      </c>
      <c r="G9" s="1" t="s">
        <v>60</v>
      </c>
      <c r="H9">
        <v>27.7</v>
      </c>
      <c r="I9">
        <v>38.200000000000003</v>
      </c>
      <c r="J9">
        <v>1.8</v>
      </c>
      <c r="K9">
        <v>3.72</v>
      </c>
      <c r="L9" t="s">
        <v>98</v>
      </c>
      <c r="M9" t="s">
        <v>157</v>
      </c>
      <c r="P9">
        <v>250411</v>
      </c>
      <c r="Q9" t="s">
        <v>157</v>
      </c>
    </row>
    <row r="10" spans="1:19" x14ac:dyDescent="0.2">
      <c r="A10" t="s">
        <v>66</v>
      </c>
      <c r="B10">
        <v>5752868</v>
      </c>
      <c r="C10" t="s">
        <v>36</v>
      </c>
      <c r="D10">
        <v>2022</v>
      </c>
      <c r="E10">
        <v>2</v>
      </c>
      <c r="F10" t="s">
        <v>104</v>
      </c>
      <c r="G10" t="s">
        <v>99</v>
      </c>
      <c r="H10">
        <v>6.04</v>
      </c>
      <c r="I10">
        <v>6.6</v>
      </c>
      <c r="J10">
        <v>1.7</v>
      </c>
      <c r="K10">
        <v>-4.0599999999999996</v>
      </c>
      <c r="L10" t="s">
        <v>127</v>
      </c>
      <c r="M10" t="s">
        <v>157</v>
      </c>
      <c r="N10" t="s">
        <v>68</v>
      </c>
      <c r="P10">
        <v>250414</v>
      </c>
      <c r="Q10" t="s">
        <v>157</v>
      </c>
    </row>
    <row r="11" spans="1:19" x14ac:dyDescent="0.2">
      <c r="A11" t="s">
        <v>75</v>
      </c>
      <c r="B11">
        <v>202449</v>
      </c>
      <c r="C11" t="s">
        <v>24</v>
      </c>
      <c r="D11">
        <v>2001</v>
      </c>
      <c r="E11">
        <v>4.5999999999999996</v>
      </c>
      <c r="F11" t="s">
        <v>104</v>
      </c>
      <c r="G11" t="s">
        <v>107</v>
      </c>
      <c r="H11">
        <v>5.73</v>
      </c>
      <c r="I11">
        <v>30.3</v>
      </c>
      <c r="J11">
        <v>1.97</v>
      </c>
      <c r="K11">
        <v>-6.54</v>
      </c>
      <c r="L11" t="s">
        <v>128</v>
      </c>
      <c r="M11" t="s">
        <v>157</v>
      </c>
      <c r="O11" t="s">
        <v>115</v>
      </c>
      <c r="P11">
        <v>250418</v>
      </c>
      <c r="Q11" t="s">
        <v>157</v>
      </c>
      <c r="R11" t="s">
        <v>126</v>
      </c>
    </row>
    <row r="12" spans="1:19" x14ac:dyDescent="0.2">
      <c r="A12" t="s">
        <v>76</v>
      </c>
      <c r="B12">
        <v>293450</v>
      </c>
      <c r="C12" t="s">
        <v>25</v>
      </c>
      <c r="D12">
        <v>2001</v>
      </c>
      <c r="E12">
        <v>5</v>
      </c>
      <c r="F12" t="s">
        <v>16</v>
      </c>
      <c r="G12" t="s">
        <v>102</v>
      </c>
      <c r="H12">
        <v>6.7</v>
      </c>
      <c r="I12">
        <v>70.7</v>
      </c>
      <c r="J12">
        <v>2.12</v>
      </c>
      <c r="K12">
        <v>6.68</v>
      </c>
      <c r="L12" t="s">
        <v>129</v>
      </c>
      <c r="M12" t="s">
        <v>157</v>
      </c>
      <c r="N12" t="s">
        <v>175</v>
      </c>
      <c r="O12" t="s">
        <v>116</v>
      </c>
      <c r="P12">
        <v>250418</v>
      </c>
      <c r="Q12" t="s">
        <v>174</v>
      </c>
      <c r="R12" t="s">
        <v>125</v>
      </c>
      <c r="S12" s="4" t="s">
        <v>124</v>
      </c>
    </row>
    <row r="13" spans="1:19" x14ac:dyDescent="0.2">
      <c r="A13" t="s">
        <v>77</v>
      </c>
      <c r="B13">
        <v>330069</v>
      </c>
      <c r="C13" t="s">
        <v>26</v>
      </c>
      <c r="D13">
        <v>2002</v>
      </c>
      <c r="E13">
        <v>5.7</v>
      </c>
      <c r="F13" t="s">
        <v>104</v>
      </c>
      <c r="G13" t="s">
        <v>110</v>
      </c>
      <c r="H13">
        <v>2.12</v>
      </c>
      <c r="I13">
        <v>37.1</v>
      </c>
      <c r="J13">
        <v>2.0499999999999998</v>
      </c>
      <c r="K13">
        <v>-19.59</v>
      </c>
      <c r="L13" t="s">
        <v>130</v>
      </c>
      <c r="M13" t="s">
        <v>157</v>
      </c>
      <c r="N13" t="s">
        <v>175</v>
      </c>
      <c r="O13" t="s">
        <v>117</v>
      </c>
      <c r="P13">
        <v>250418</v>
      </c>
      <c r="Q13" t="s">
        <v>169</v>
      </c>
      <c r="R13" t="s">
        <v>120</v>
      </c>
    </row>
    <row r="14" spans="1:19" x14ac:dyDescent="0.2">
      <c r="A14" t="s">
        <v>79</v>
      </c>
      <c r="B14">
        <v>1896191</v>
      </c>
      <c r="C14" t="s">
        <v>28</v>
      </c>
      <c r="D14">
        <v>2005</v>
      </c>
      <c r="E14">
        <v>3.1</v>
      </c>
      <c r="F14" t="s">
        <v>104</v>
      </c>
      <c r="G14" t="s">
        <v>111</v>
      </c>
      <c r="H14">
        <v>4.03</v>
      </c>
      <c r="I14">
        <v>40.700000000000003</v>
      </c>
      <c r="J14">
        <v>2.09</v>
      </c>
      <c r="K14">
        <v>-15.97</v>
      </c>
      <c r="L14" t="s">
        <v>132</v>
      </c>
      <c r="M14" t="s">
        <v>157</v>
      </c>
      <c r="N14" t="s">
        <v>175</v>
      </c>
      <c r="O14" t="s">
        <v>117</v>
      </c>
      <c r="P14">
        <v>250418</v>
      </c>
      <c r="Q14" t="s">
        <v>174</v>
      </c>
      <c r="R14" t="s">
        <v>123</v>
      </c>
      <c r="S14" s="4" t="s">
        <v>124</v>
      </c>
    </row>
    <row r="15" spans="1:19" x14ac:dyDescent="0.2">
      <c r="A15" t="s">
        <v>81</v>
      </c>
      <c r="B15">
        <v>1895626</v>
      </c>
      <c r="C15" t="s">
        <v>30</v>
      </c>
      <c r="D15">
        <v>2009</v>
      </c>
      <c r="E15">
        <v>1.2</v>
      </c>
      <c r="F15" t="s">
        <v>16</v>
      </c>
      <c r="G15" t="s">
        <v>112</v>
      </c>
      <c r="H15">
        <v>11.6</v>
      </c>
      <c r="I15">
        <v>63.3</v>
      </c>
      <c r="J15">
        <v>2</v>
      </c>
      <c r="K15">
        <v>2.2599999999999998</v>
      </c>
      <c r="L15" t="s">
        <v>134</v>
      </c>
      <c r="M15" t="s">
        <v>157</v>
      </c>
      <c r="O15" t="s">
        <v>117</v>
      </c>
      <c r="P15">
        <v>250418</v>
      </c>
      <c r="Q15" t="s">
        <v>157</v>
      </c>
      <c r="R15" t="s">
        <v>120</v>
      </c>
    </row>
    <row r="16" spans="1:19" x14ac:dyDescent="0.2">
      <c r="A16" t="s">
        <v>82</v>
      </c>
      <c r="B16">
        <v>216778</v>
      </c>
      <c r="C16" t="s">
        <v>31</v>
      </c>
      <c r="D16">
        <v>2016</v>
      </c>
      <c r="E16">
        <v>5.4</v>
      </c>
      <c r="F16" t="s">
        <v>104</v>
      </c>
      <c r="G16" t="s">
        <v>109</v>
      </c>
      <c r="H16">
        <v>4.9000000000000004</v>
      </c>
      <c r="I16">
        <v>10.8</v>
      </c>
      <c r="J16">
        <v>1.65</v>
      </c>
      <c r="K16">
        <v>-1</v>
      </c>
      <c r="L16" t="s">
        <v>135</v>
      </c>
      <c r="M16" t="s">
        <v>157</v>
      </c>
      <c r="O16" t="s">
        <v>118</v>
      </c>
      <c r="P16">
        <v>250418</v>
      </c>
      <c r="Q16" t="s">
        <v>157</v>
      </c>
      <c r="R16" t="s">
        <v>122</v>
      </c>
    </row>
    <row r="17" spans="1:18" x14ac:dyDescent="0.2">
      <c r="A17" t="s">
        <v>85</v>
      </c>
      <c r="B17">
        <v>4064867</v>
      </c>
      <c r="C17" t="s">
        <v>34</v>
      </c>
      <c r="D17">
        <v>2017</v>
      </c>
      <c r="E17">
        <v>3.8</v>
      </c>
      <c r="F17" t="s">
        <v>104</v>
      </c>
      <c r="G17" t="s">
        <v>106</v>
      </c>
      <c r="H17">
        <v>28.5</v>
      </c>
      <c r="I17">
        <v>190.4</v>
      </c>
      <c r="J17">
        <v>2.15</v>
      </c>
      <c r="K17">
        <v>3.31</v>
      </c>
      <c r="L17" t="s">
        <v>134</v>
      </c>
      <c r="M17" s="5" t="s">
        <v>157</v>
      </c>
      <c r="N17" t="s">
        <v>170</v>
      </c>
      <c r="O17" t="s">
        <v>114</v>
      </c>
      <c r="P17">
        <v>250418</v>
      </c>
      <c r="Q17" s="5" t="s">
        <v>157</v>
      </c>
      <c r="R17" t="s">
        <v>120</v>
      </c>
    </row>
    <row r="18" spans="1:18" x14ac:dyDescent="0.2">
      <c r="A18" t="s">
        <v>86</v>
      </c>
      <c r="B18">
        <v>3630484</v>
      </c>
      <c r="C18" t="s">
        <v>35</v>
      </c>
      <c r="D18">
        <v>2019</v>
      </c>
      <c r="E18">
        <v>3.3</v>
      </c>
      <c r="F18" t="s">
        <v>73</v>
      </c>
      <c r="G18" t="s">
        <v>100</v>
      </c>
      <c r="H18">
        <v>0.39700000000000002</v>
      </c>
      <c r="I18">
        <v>3.6</v>
      </c>
      <c r="J18">
        <v>2.61</v>
      </c>
      <c r="K18">
        <v>-0.32</v>
      </c>
      <c r="L18" t="s">
        <v>138</v>
      </c>
      <c r="M18" s="5" t="s">
        <v>169</v>
      </c>
      <c r="O18" t="s">
        <v>115</v>
      </c>
      <c r="P18">
        <v>250418</v>
      </c>
      <c r="Q18" t="s">
        <v>174</v>
      </c>
      <c r="R18" t="s">
        <v>119</v>
      </c>
    </row>
    <row r="19" spans="1:18" x14ac:dyDescent="0.2">
      <c r="A19" t="s">
        <v>139</v>
      </c>
      <c r="B19">
        <v>236400</v>
      </c>
      <c r="C19" t="s">
        <v>146</v>
      </c>
      <c r="D19">
        <v>2011</v>
      </c>
      <c r="E19">
        <v>8.9</v>
      </c>
      <c r="F19" t="s">
        <v>104</v>
      </c>
      <c r="G19" t="s">
        <v>160</v>
      </c>
      <c r="H19">
        <v>58</v>
      </c>
      <c r="I19">
        <v>678.1</v>
      </c>
      <c r="J19">
        <v>2.09</v>
      </c>
      <c r="K19">
        <v>2.5499999999999998</v>
      </c>
      <c r="M19" t="s">
        <v>157</v>
      </c>
      <c r="N19" t="s">
        <v>170</v>
      </c>
      <c r="O19" t="s">
        <v>161</v>
      </c>
      <c r="P19">
        <v>250429</v>
      </c>
      <c r="Q19" t="s">
        <v>157</v>
      </c>
    </row>
    <row r="20" spans="1:18" x14ac:dyDescent="0.2">
      <c r="A20" t="s">
        <v>140</v>
      </c>
      <c r="B20">
        <v>236311</v>
      </c>
      <c r="C20" t="s">
        <v>148</v>
      </c>
      <c r="D20">
        <v>2013</v>
      </c>
      <c r="E20" t="s">
        <v>166</v>
      </c>
      <c r="F20" t="s">
        <v>104</v>
      </c>
      <c r="G20" t="s">
        <v>165</v>
      </c>
      <c r="H20">
        <v>11.2</v>
      </c>
      <c r="I20">
        <v>62.7</v>
      </c>
      <c r="J20">
        <v>2.12</v>
      </c>
      <c r="K20">
        <v>9.89</v>
      </c>
      <c r="M20" t="s">
        <v>157</v>
      </c>
      <c r="O20" t="s">
        <v>161</v>
      </c>
      <c r="P20">
        <v>250429</v>
      </c>
      <c r="Q20" t="s">
        <v>157</v>
      </c>
    </row>
    <row r="21" spans="1:18" x14ac:dyDescent="0.2">
      <c r="A21" t="s">
        <v>141</v>
      </c>
      <c r="B21">
        <v>238791</v>
      </c>
      <c r="C21" t="s">
        <v>149</v>
      </c>
      <c r="D21">
        <v>2015</v>
      </c>
      <c r="E21">
        <v>2.2000000000000002</v>
      </c>
      <c r="F21" t="s">
        <v>104</v>
      </c>
      <c r="G21" t="s">
        <v>160</v>
      </c>
      <c r="H21">
        <v>22.8</v>
      </c>
      <c r="I21">
        <v>133.69999999999999</v>
      </c>
      <c r="J21">
        <v>2.1</v>
      </c>
      <c r="K21">
        <v>3.69</v>
      </c>
      <c r="M21" t="s">
        <v>157</v>
      </c>
      <c r="O21" t="s">
        <v>161</v>
      </c>
      <c r="P21">
        <v>250429</v>
      </c>
      <c r="Q21" t="s">
        <v>157</v>
      </c>
    </row>
    <row r="22" spans="1:18" x14ac:dyDescent="0.2">
      <c r="A22" t="s">
        <v>142</v>
      </c>
      <c r="B22">
        <v>3590166</v>
      </c>
      <c r="C22" t="s">
        <v>151</v>
      </c>
      <c r="D22">
        <v>2019</v>
      </c>
      <c r="E22" t="s">
        <v>167</v>
      </c>
      <c r="F22" t="s">
        <v>104</v>
      </c>
      <c r="G22" t="s">
        <v>160</v>
      </c>
      <c r="H22">
        <v>6.09</v>
      </c>
      <c r="I22">
        <v>39.5</v>
      </c>
      <c r="J22">
        <v>2.12</v>
      </c>
      <c r="K22">
        <v>54.92</v>
      </c>
      <c r="M22" t="s">
        <v>157</v>
      </c>
      <c r="O22" t="s">
        <v>162</v>
      </c>
      <c r="P22">
        <v>250429</v>
      </c>
      <c r="Q22" t="s">
        <v>157</v>
      </c>
    </row>
    <row r="23" spans="1:18" x14ac:dyDescent="0.2">
      <c r="A23" t="s">
        <v>143</v>
      </c>
      <c r="B23">
        <v>3590166</v>
      </c>
      <c r="C23" t="s">
        <v>151</v>
      </c>
      <c r="D23">
        <v>2019</v>
      </c>
      <c r="E23" t="s">
        <v>163</v>
      </c>
      <c r="F23" t="s">
        <v>104</v>
      </c>
      <c r="G23" t="s">
        <v>160</v>
      </c>
      <c r="H23">
        <v>13.4</v>
      </c>
      <c r="I23">
        <v>64.2</v>
      </c>
      <c r="J23">
        <v>2.0499999999999998</v>
      </c>
      <c r="K23">
        <v>10.77</v>
      </c>
      <c r="M23" t="s">
        <v>157</v>
      </c>
      <c r="N23" t="s">
        <v>168</v>
      </c>
      <c r="O23" t="s">
        <v>161</v>
      </c>
      <c r="P23">
        <v>250429</v>
      </c>
      <c r="Q23" t="s">
        <v>157</v>
      </c>
    </row>
    <row r="24" spans="1:18" x14ac:dyDescent="0.2">
      <c r="A24" t="s">
        <v>238</v>
      </c>
      <c r="B24">
        <v>231367</v>
      </c>
      <c r="C24" t="s">
        <v>144</v>
      </c>
      <c r="D24">
        <v>2007</v>
      </c>
      <c r="E24" s="1">
        <v>8.1999999999999993</v>
      </c>
      <c r="F24" t="s">
        <v>16</v>
      </c>
      <c r="G24" s="1" t="s">
        <v>158</v>
      </c>
      <c r="H24">
        <v>9.01</v>
      </c>
      <c r="O24" t="s">
        <v>159</v>
      </c>
      <c r="P24">
        <v>250809</v>
      </c>
      <c r="Q24" t="s">
        <v>157</v>
      </c>
    </row>
    <row r="25" spans="1:18" x14ac:dyDescent="0.2">
      <c r="A25" t="s">
        <v>239</v>
      </c>
      <c r="B25">
        <v>235906</v>
      </c>
      <c r="C25" t="s">
        <v>145</v>
      </c>
      <c r="D25">
        <v>2011</v>
      </c>
      <c r="E25">
        <v>1.3</v>
      </c>
      <c r="F25" t="s">
        <v>16</v>
      </c>
      <c r="G25" s="1" t="s">
        <v>158</v>
      </c>
      <c r="H25">
        <v>4.59</v>
      </c>
      <c r="O25" t="s">
        <v>272</v>
      </c>
      <c r="P25">
        <v>250809</v>
      </c>
      <c r="Q25" t="s">
        <v>157</v>
      </c>
    </row>
    <row r="26" spans="1:18" x14ac:dyDescent="0.2">
      <c r="A26" t="s">
        <v>240</v>
      </c>
      <c r="B26">
        <v>236700</v>
      </c>
      <c r="C26" s="13" t="s">
        <v>147</v>
      </c>
      <c r="D26">
        <v>2012</v>
      </c>
      <c r="E26">
        <v>2</v>
      </c>
      <c r="F26" t="s">
        <v>16</v>
      </c>
      <c r="G26" t="s">
        <v>164</v>
      </c>
      <c r="H26">
        <v>5.23</v>
      </c>
      <c r="O26" t="s">
        <v>272</v>
      </c>
      <c r="P26">
        <v>250809</v>
      </c>
      <c r="Q26" t="s">
        <v>157</v>
      </c>
    </row>
    <row r="27" spans="1:18" x14ac:dyDescent="0.2">
      <c r="A27" t="s">
        <v>241</v>
      </c>
      <c r="B27">
        <v>3590276</v>
      </c>
      <c r="C27" t="s">
        <v>150</v>
      </c>
      <c r="D27">
        <v>2019</v>
      </c>
      <c r="E27">
        <v>1.2</v>
      </c>
      <c r="F27" t="s">
        <v>16</v>
      </c>
      <c r="G27" t="s">
        <v>164</v>
      </c>
      <c r="H27">
        <v>5.13</v>
      </c>
      <c r="O27" t="s">
        <v>297</v>
      </c>
      <c r="P27">
        <v>250809</v>
      </c>
      <c r="Q27" s="2" t="s">
        <v>157</v>
      </c>
    </row>
    <row r="28" spans="1:18" x14ac:dyDescent="0.2">
      <c r="A28" t="s">
        <v>242</v>
      </c>
      <c r="B28" t="str">
        <f>_xlfn.XLOOKUP(C28, [1]Raphanus_specimens_all_2025!G:G, [1]Raphanus_specimens_all_2025!A:A, "")</f>
        <v/>
      </c>
      <c r="C28" t="s">
        <v>152</v>
      </c>
      <c r="D28">
        <v>2020</v>
      </c>
      <c r="E28">
        <v>1.4</v>
      </c>
      <c r="F28" t="s">
        <v>270</v>
      </c>
      <c r="G28" t="s">
        <v>271</v>
      </c>
      <c r="H28">
        <v>4.76</v>
      </c>
      <c r="O28" t="s">
        <v>272</v>
      </c>
      <c r="P28">
        <v>250809</v>
      </c>
      <c r="Q28" t="s">
        <v>157</v>
      </c>
    </row>
    <row r="29" spans="1:18" x14ac:dyDescent="0.2">
      <c r="A29" t="s">
        <v>243</v>
      </c>
      <c r="B29" t="str">
        <f>_xlfn.XLOOKUP(C29, [1]Raphanus_specimens_all_2025!G:G, [1]Raphanus_specimens_all_2025!A:A, "")</f>
        <v/>
      </c>
      <c r="C29" t="s">
        <v>153</v>
      </c>
      <c r="D29">
        <v>2020</v>
      </c>
      <c r="E29">
        <v>3.3</v>
      </c>
      <c r="F29" t="s">
        <v>273</v>
      </c>
      <c r="G29" t="s">
        <v>274</v>
      </c>
      <c r="H29">
        <v>5.52</v>
      </c>
      <c r="O29" t="s">
        <v>272</v>
      </c>
      <c r="P29">
        <v>250809</v>
      </c>
      <c r="Q29" t="s">
        <v>157</v>
      </c>
    </row>
    <row r="30" spans="1:18" x14ac:dyDescent="0.2">
      <c r="A30" t="s">
        <v>244</v>
      </c>
      <c r="B30" t="str">
        <f>_xlfn.XLOOKUP(C30, [1]Raphanus_specimens_all_2025!G:G, [1]Raphanus_specimens_all_2025!A:A, "")</f>
        <v/>
      </c>
      <c r="C30" t="s">
        <v>154</v>
      </c>
      <c r="D30">
        <v>2020</v>
      </c>
      <c r="E30">
        <v>11.1</v>
      </c>
      <c r="F30" t="s">
        <v>270</v>
      </c>
      <c r="G30" t="s">
        <v>275</v>
      </c>
      <c r="H30">
        <v>37.799999999999997</v>
      </c>
      <c r="O30" t="s">
        <v>272</v>
      </c>
      <c r="P30">
        <v>250809</v>
      </c>
      <c r="Q30" s="2" t="s">
        <v>157</v>
      </c>
    </row>
    <row r="31" spans="1:18" x14ac:dyDescent="0.2">
      <c r="A31" t="s">
        <v>245</v>
      </c>
      <c r="B31" t="str">
        <f>_xlfn.XLOOKUP(C31, [1]Raphanus_specimens_all_2025!G:G, [1]Raphanus_specimens_all_2025!A:A, "")</f>
        <v/>
      </c>
      <c r="C31" t="s">
        <v>155</v>
      </c>
      <c r="D31">
        <v>2020</v>
      </c>
      <c r="E31">
        <v>3.9</v>
      </c>
      <c r="F31" t="s">
        <v>270</v>
      </c>
      <c r="G31" t="s">
        <v>271</v>
      </c>
      <c r="H31">
        <v>39.700000000000003</v>
      </c>
      <c r="O31" t="s">
        <v>272</v>
      </c>
      <c r="P31">
        <v>250809</v>
      </c>
      <c r="Q31" t="s">
        <v>157</v>
      </c>
    </row>
    <row r="32" spans="1:18" x14ac:dyDescent="0.2">
      <c r="A32" t="s">
        <v>246</v>
      </c>
      <c r="B32">
        <v>3475357</v>
      </c>
      <c r="C32" s="17" t="s">
        <v>234</v>
      </c>
      <c r="D32">
        <v>2003</v>
      </c>
      <c r="E32">
        <v>4.5</v>
      </c>
      <c r="F32" t="s">
        <v>270</v>
      </c>
      <c r="G32" t="s">
        <v>274</v>
      </c>
      <c r="H32">
        <v>2.25</v>
      </c>
      <c r="O32" t="s">
        <v>272</v>
      </c>
      <c r="P32">
        <v>250809</v>
      </c>
      <c r="Q32" t="s">
        <v>157</v>
      </c>
    </row>
    <row r="33" spans="1:17" s="8" customFormat="1" x14ac:dyDescent="0.2">
      <c r="A33" s="8" t="s">
        <v>247</v>
      </c>
      <c r="B33">
        <v>3400832</v>
      </c>
      <c r="C33" s="20" t="s">
        <v>235</v>
      </c>
      <c r="D33" s="8">
        <v>2004</v>
      </c>
      <c r="E33" s="8">
        <v>12.4</v>
      </c>
      <c r="F33" s="8" t="s">
        <v>278</v>
      </c>
      <c r="G33" s="8" t="s">
        <v>277</v>
      </c>
      <c r="H33" s="8">
        <v>1.21</v>
      </c>
      <c r="O33" s="8" t="s">
        <v>272</v>
      </c>
      <c r="P33">
        <v>250809</v>
      </c>
      <c r="Q33" s="8" t="s">
        <v>174</v>
      </c>
    </row>
    <row r="34" spans="1:17" x14ac:dyDescent="0.2">
      <c r="A34" t="s">
        <v>248</v>
      </c>
      <c r="B34">
        <v>3349335</v>
      </c>
      <c r="C34" s="17" t="s">
        <v>236</v>
      </c>
      <c r="D34">
        <v>2016</v>
      </c>
      <c r="E34">
        <v>12</v>
      </c>
      <c r="F34" t="s">
        <v>282</v>
      </c>
      <c r="G34" t="s">
        <v>279</v>
      </c>
      <c r="H34">
        <v>5.74</v>
      </c>
      <c r="O34" t="s">
        <v>280</v>
      </c>
      <c r="P34">
        <v>250809</v>
      </c>
      <c r="Q34" t="s">
        <v>157</v>
      </c>
    </row>
    <row r="35" spans="1:17" x14ac:dyDescent="0.2">
      <c r="A35" t="s">
        <v>249</v>
      </c>
      <c r="B35">
        <v>5509705</v>
      </c>
      <c r="C35" s="17" t="s">
        <v>237</v>
      </c>
      <c r="D35">
        <v>2016</v>
      </c>
      <c r="E35">
        <v>6.9</v>
      </c>
      <c r="F35" t="s">
        <v>270</v>
      </c>
      <c r="G35" t="s">
        <v>271</v>
      </c>
      <c r="H35">
        <v>17.7</v>
      </c>
      <c r="O35" t="s">
        <v>272</v>
      </c>
      <c r="P35">
        <v>250809</v>
      </c>
      <c r="Q35" t="s">
        <v>157</v>
      </c>
    </row>
    <row r="36" spans="1:17" x14ac:dyDescent="0.2">
      <c r="A36" t="s">
        <v>257</v>
      </c>
      <c r="B36">
        <v>5549192</v>
      </c>
      <c r="C36" t="s">
        <v>250</v>
      </c>
      <c r="D36">
        <v>2021</v>
      </c>
      <c r="E36">
        <v>9.6999999999999993</v>
      </c>
      <c r="F36" t="s">
        <v>270</v>
      </c>
      <c r="G36" t="s">
        <v>275</v>
      </c>
      <c r="H36">
        <v>44.9</v>
      </c>
      <c r="O36" t="s">
        <v>272</v>
      </c>
      <c r="P36">
        <v>250809</v>
      </c>
      <c r="Q36" t="s">
        <v>157</v>
      </c>
    </row>
    <row r="37" spans="1:17" s="8" customFormat="1" x14ac:dyDescent="0.2">
      <c r="A37" s="8" t="s">
        <v>258</v>
      </c>
      <c r="B37">
        <v>3753225</v>
      </c>
      <c r="C37" s="8" t="s">
        <v>251</v>
      </c>
      <c r="D37" s="8">
        <v>2000</v>
      </c>
      <c r="E37" s="19">
        <v>2</v>
      </c>
      <c r="F37" s="8" t="s">
        <v>270</v>
      </c>
      <c r="G37" s="8" t="s">
        <v>271</v>
      </c>
      <c r="H37" s="8">
        <v>1.97</v>
      </c>
      <c r="O37" s="8" t="s">
        <v>272</v>
      </c>
      <c r="P37">
        <v>250809</v>
      </c>
      <c r="Q37" s="8" t="s">
        <v>174</v>
      </c>
    </row>
    <row r="38" spans="1:17" x14ac:dyDescent="0.2">
      <c r="A38" t="s">
        <v>259</v>
      </c>
      <c r="B38">
        <v>389892</v>
      </c>
      <c r="C38" t="s">
        <v>252</v>
      </c>
      <c r="D38">
        <v>2003</v>
      </c>
      <c r="E38">
        <v>2.8</v>
      </c>
      <c r="F38" t="s">
        <v>281</v>
      </c>
      <c r="G38" t="s">
        <v>283</v>
      </c>
      <c r="H38">
        <v>3.7</v>
      </c>
      <c r="O38" t="s">
        <v>272</v>
      </c>
      <c r="P38">
        <v>250809</v>
      </c>
      <c r="Q38" t="s">
        <v>157</v>
      </c>
    </row>
    <row r="39" spans="1:17" s="8" customFormat="1" x14ac:dyDescent="0.2">
      <c r="A39" s="8" t="s">
        <v>260</v>
      </c>
      <c r="B39">
        <v>393682</v>
      </c>
      <c r="C39" s="8" t="s">
        <v>253</v>
      </c>
      <c r="D39" s="8">
        <v>2010</v>
      </c>
      <c r="E39" s="8">
        <v>2.8</v>
      </c>
      <c r="F39" s="8" t="s">
        <v>284</v>
      </c>
      <c r="G39" s="8" t="s">
        <v>285</v>
      </c>
      <c r="H39" s="8">
        <v>1.88</v>
      </c>
      <c r="O39" s="8" t="s">
        <v>272</v>
      </c>
      <c r="P39">
        <v>250809</v>
      </c>
      <c r="Q39" s="8" t="s">
        <v>174</v>
      </c>
    </row>
    <row r="40" spans="1:17" x14ac:dyDescent="0.2">
      <c r="A40" t="s">
        <v>261</v>
      </c>
      <c r="B40">
        <v>394122</v>
      </c>
      <c r="C40" t="s">
        <v>254</v>
      </c>
      <c r="D40">
        <v>2012</v>
      </c>
      <c r="E40" s="18">
        <v>5</v>
      </c>
      <c r="F40" t="s">
        <v>286</v>
      </c>
      <c r="G40" t="s">
        <v>287</v>
      </c>
      <c r="H40">
        <v>4</v>
      </c>
      <c r="O40" t="s">
        <v>276</v>
      </c>
      <c r="P40">
        <v>250809</v>
      </c>
      <c r="Q40" t="s">
        <v>157</v>
      </c>
    </row>
    <row r="41" spans="1:17" x14ac:dyDescent="0.2">
      <c r="A41" t="s">
        <v>262</v>
      </c>
      <c r="B41">
        <v>394165</v>
      </c>
      <c r="C41" t="s">
        <v>255</v>
      </c>
      <c r="D41">
        <v>2012</v>
      </c>
      <c r="E41" t="s">
        <v>290</v>
      </c>
      <c r="F41" t="s">
        <v>281</v>
      </c>
      <c r="G41" t="s">
        <v>288</v>
      </c>
      <c r="H41">
        <v>2.41</v>
      </c>
      <c r="O41" t="s">
        <v>289</v>
      </c>
      <c r="P41">
        <v>250809</v>
      </c>
      <c r="Q41" t="s">
        <v>157</v>
      </c>
    </row>
    <row r="42" spans="1:17" x14ac:dyDescent="0.2">
      <c r="A42" t="s">
        <v>263</v>
      </c>
      <c r="B42">
        <v>395628</v>
      </c>
      <c r="C42" t="s">
        <v>256</v>
      </c>
      <c r="D42">
        <v>2016</v>
      </c>
      <c r="E42">
        <v>7.2</v>
      </c>
      <c r="F42" t="s">
        <v>284</v>
      </c>
      <c r="G42" t="s">
        <v>291</v>
      </c>
      <c r="H42">
        <v>36.4</v>
      </c>
      <c r="O42" t="s">
        <v>272</v>
      </c>
      <c r="P42">
        <v>250809</v>
      </c>
      <c r="Q42" t="s">
        <v>157</v>
      </c>
    </row>
    <row r="43" spans="1:17" x14ac:dyDescent="0.2">
      <c r="A43" t="s">
        <v>264</v>
      </c>
      <c r="B43">
        <v>469031</v>
      </c>
      <c r="C43" t="s">
        <v>267</v>
      </c>
      <c r="D43">
        <v>2003</v>
      </c>
      <c r="E43">
        <v>3</v>
      </c>
      <c r="F43" t="s">
        <v>293</v>
      </c>
      <c r="G43" t="s">
        <v>292</v>
      </c>
      <c r="H43">
        <v>2.0699999999999998</v>
      </c>
      <c r="O43" t="s">
        <v>272</v>
      </c>
      <c r="P43">
        <v>250809</v>
      </c>
      <c r="Q43" t="s">
        <v>157</v>
      </c>
    </row>
    <row r="44" spans="1:17" s="8" customFormat="1" x14ac:dyDescent="0.2">
      <c r="A44" s="8" t="s">
        <v>265</v>
      </c>
      <c r="B44">
        <v>469119</v>
      </c>
      <c r="C44" s="8" t="s">
        <v>268</v>
      </c>
      <c r="D44" s="8">
        <v>2008</v>
      </c>
      <c r="E44" s="8">
        <v>2</v>
      </c>
      <c r="F44" s="8" t="s">
        <v>278</v>
      </c>
      <c r="G44" s="8" t="s">
        <v>294</v>
      </c>
      <c r="H44" s="8">
        <v>1.0900000000000001</v>
      </c>
      <c r="O44" s="8" t="s">
        <v>295</v>
      </c>
      <c r="P44">
        <v>250809</v>
      </c>
      <c r="Q44" s="8" t="s">
        <v>174</v>
      </c>
    </row>
    <row r="45" spans="1:17" x14ac:dyDescent="0.2">
      <c r="A45" t="s">
        <v>266</v>
      </c>
      <c r="B45">
        <v>469025</v>
      </c>
      <c r="C45" t="s">
        <v>269</v>
      </c>
      <c r="D45">
        <v>2000</v>
      </c>
      <c r="E45">
        <v>3.4</v>
      </c>
      <c r="F45" t="s">
        <v>293</v>
      </c>
      <c r="G45" t="s">
        <v>296</v>
      </c>
      <c r="H45">
        <v>5.59</v>
      </c>
      <c r="O45" t="s">
        <v>272</v>
      </c>
      <c r="P45">
        <v>250809</v>
      </c>
      <c r="Q45" t="s">
        <v>157</v>
      </c>
    </row>
    <row r="46" spans="1:17" x14ac:dyDescent="0.2">
      <c r="A46" t="s">
        <v>299</v>
      </c>
      <c r="B46">
        <v>469078</v>
      </c>
      <c r="C46" t="s">
        <v>298</v>
      </c>
      <c r="D46">
        <v>2004</v>
      </c>
      <c r="E46">
        <v>3.1</v>
      </c>
      <c r="F46" t="s">
        <v>270</v>
      </c>
      <c r="G46" t="s">
        <v>274</v>
      </c>
      <c r="O46" t="s">
        <v>272</v>
      </c>
      <c r="P46">
        <v>251027</v>
      </c>
    </row>
    <row r="47" spans="1:17" x14ac:dyDescent="0.2">
      <c r="A47" t="s">
        <v>300</v>
      </c>
      <c r="B47">
        <v>469111</v>
      </c>
      <c r="C47" t="s">
        <v>323</v>
      </c>
      <c r="D47">
        <v>2007</v>
      </c>
      <c r="E47" t="s">
        <v>324</v>
      </c>
      <c r="F47" t="s">
        <v>270</v>
      </c>
      <c r="G47" t="s">
        <v>325</v>
      </c>
      <c r="O47" t="s">
        <v>289</v>
      </c>
      <c r="P47">
        <v>251027</v>
      </c>
    </row>
    <row r="48" spans="1:17" x14ac:dyDescent="0.2">
      <c r="A48" t="s">
        <v>301</v>
      </c>
      <c r="B48">
        <v>469136</v>
      </c>
      <c r="C48" t="s">
        <v>326</v>
      </c>
      <c r="D48">
        <v>2012</v>
      </c>
      <c r="E48">
        <v>4.0999999999999996</v>
      </c>
      <c r="F48" t="s">
        <v>270</v>
      </c>
      <c r="G48" t="s">
        <v>325</v>
      </c>
      <c r="O48" t="s">
        <v>272</v>
      </c>
      <c r="P48">
        <v>251027</v>
      </c>
    </row>
    <row r="49" spans="1:16" x14ac:dyDescent="0.2">
      <c r="A49" t="s">
        <v>302</v>
      </c>
      <c r="B49">
        <v>469107</v>
      </c>
      <c r="C49" t="s">
        <v>327</v>
      </c>
      <c r="D49">
        <v>2007</v>
      </c>
      <c r="E49" t="s">
        <v>328</v>
      </c>
      <c r="F49" t="s">
        <v>270</v>
      </c>
      <c r="G49" t="s">
        <v>275</v>
      </c>
      <c r="O49" t="s">
        <v>289</v>
      </c>
      <c r="P49">
        <v>251027</v>
      </c>
    </row>
    <row r="50" spans="1:16" x14ac:dyDescent="0.2">
      <c r="A50" t="s">
        <v>303</v>
      </c>
      <c r="B50">
        <v>3700299</v>
      </c>
      <c r="C50" t="s">
        <v>329</v>
      </c>
      <c r="D50">
        <v>2017</v>
      </c>
      <c r="E50">
        <v>1.3</v>
      </c>
      <c r="F50" t="s">
        <v>270</v>
      </c>
      <c r="G50" t="s">
        <v>330</v>
      </c>
      <c r="O50" t="s">
        <v>272</v>
      </c>
      <c r="P50">
        <v>251027</v>
      </c>
    </row>
    <row r="51" spans="1:16" x14ac:dyDescent="0.2">
      <c r="A51" t="s">
        <v>304</v>
      </c>
      <c r="B51">
        <v>469176</v>
      </c>
      <c r="C51" t="s">
        <v>331</v>
      </c>
      <c r="D51">
        <v>2016</v>
      </c>
      <c r="E51">
        <v>5.2</v>
      </c>
      <c r="F51" t="s">
        <v>284</v>
      </c>
      <c r="G51" t="s">
        <v>332</v>
      </c>
      <c r="O51" t="s">
        <v>272</v>
      </c>
      <c r="P51">
        <v>251027</v>
      </c>
    </row>
    <row r="52" spans="1:16" x14ac:dyDescent="0.2">
      <c r="A52" t="s">
        <v>305</v>
      </c>
      <c r="B52">
        <v>469079</v>
      </c>
      <c r="C52" t="s">
        <v>333</v>
      </c>
      <c r="D52">
        <v>2005</v>
      </c>
      <c r="E52">
        <v>20</v>
      </c>
      <c r="F52" t="s">
        <v>270</v>
      </c>
      <c r="G52" t="s">
        <v>275</v>
      </c>
      <c r="O52" t="s">
        <v>272</v>
      </c>
      <c r="P52">
        <v>251027</v>
      </c>
    </row>
    <row r="53" spans="1:16" x14ac:dyDescent="0.2">
      <c r="A53" t="s">
        <v>306</v>
      </c>
      <c r="B53">
        <v>469055</v>
      </c>
      <c r="C53" t="s">
        <v>334</v>
      </c>
      <c r="D53">
        <v>2004</v>
      </c>
      <c r="E53">
        <v>3.7</v>
      </c>
      <c r="F53" t="s">
        <v>270</v>
      </c>
      <c r="G53" t="s">
        <v>274</v>
      </c>
      <c r="O53" t="s">
        <v>272</v>
      </c>
      <c r="P53">
        <v>251027</v>
      </c>
    </row>
    <row r="54" spans="1:16" x14ac:dyDescent="0.2">
      <c r="A54" t="s">
        <v>307</v>
      </c>
      <c r="B54">
        <v>469139</v>
      </c>
      <c r="C54" t="s">
        <v>335</v>
      </c>
      <c r="D54">
        <v>2012</v>
      </c>
      <c r="E54" t="s">
        <v>338</v>
      </c>
      <c r="G54" t="s">
        <v>336</v>
      </c>
      <c r="O54" t="s">
        <v>289</v>
      </c>
      <c r="P54">
        <v>251027</v>
      </c>
    </row>
    <row r="55" spans="1:16" x14ac:dyDescent="0.2">
      <c r="A55" t="s">
        <v>308</v>
      </c>
      <c r="B55">
        <v>469126</v>
      </c>
      <c r="C55" t="s">
        <v>337</v>
      </c>
      <c r="D55">
        <v>2006</v>
      </c>
      <c r="E55" t="s">
        <v>339</v>
      </c>
      <c r="F55" t="s">
        <v>284</v>
      </c>
      <c r="G55" t="s">
        <v>332</v>
      </c>
      <c r="O55" t="s">
        <v>289</v>
      </c>
      <c r="P55">
        <v>251027</v>
      </c>
    </row>
    <row r="56" spans="1:16" x14ac:dyDescent="0.2">
      <c r="A56" t="s">
        <v>309</v>
      </c>
      <c r="B56">
        <v>469065</v>
      </c>
      <c r="C56" t="s">
        <v>340</v>
      </c>
      <c r="D56">
        <v>2005</v>
      </c>
      <c r="E56" t="s">
        <v>339</v>
      </c>
      <c r="G56" t="s">
        <v>341</v>
      </c>
      <c r="O56" t="s">
        <v>289</v>
      </c>
      <c r="P56">
        <v>251027</v>
      </c>
    </row>
    <row r="57" spans="1:16" x14ac:dyDescent="0.2">
      <c r="A57" t="s">
        <v>310</v>
      </c>
      <c r="B57">
        <v>469040</v>
      </c>
      <c r="C57" t="s">
        <v>342</v>
      </c>
      <c r="D57">
        <v>2004</v>
      </c>
      <c r="E57" t="s">
        <v>344</v>
      </c>
      <c r="G57" t="s">
        <v>343</v>
      </c>
      <c r="O57" t="s">
        <v>289</v>
      </c>
      <c r="P57">
        <v>251027</v>
      </c>
    </row>
    <row r="58" spans="1:16" x14ac:dyDescent="0.2">
      <c r="A58" t="s">
        <v>311</v>
      </c>
      <c r="B58">
        <v>469105</v>
      </c>
      <c r="C58" t="s">
        <v>345</v>
      </c>
      <c r="D58">
        <v>2006</v>
      </c>
      <c r="E58" t="s">
        <v>347</v>
      </c>
      <c r="F58" t="s">
        <v>73</v>
      </c>
      <c r="G58" t="s">
        <v>346</v>
      </c>
      <c r="O58" t="s">
        <v>289</v>
      </c>
      <c r="P58">
        <v>251027</v>
      </c>
    </row>
    <row r="59" spans="1:16" x14ac:dyDescent="0.2">
      <c r="A59" t="s">
        <v>312</v>
      </c>
      <c r="B59">
        <v>469044</v>
      </c>
      <c r="C59" t="s">
        <v>348</v>
      </c>
      <c r="D59">
        <v>2005</v>
      </c>
      <c r="E59">
        <v>16</v>
      </c>
      <c r="F59" t="s">
        <v>270</v>
      </c>
      <c r="G59" t="s">
        <v>275</v>
      </c>
      <c r="O59" t="s">
        <v>272</v>
      </c>
      <c r="P59">
        <v>251027</v>
      </c>
    </row>
    <row r="60" spans="1:16" x14ac:dyDescent="0.2">
      <c r="A60" t="s">
        <v>313</v>
      </c>
      <c r="B60">
        <v>469123</v>
      </c>
      <c r="C60" t="s">
        <v>349</v>
      </c>
      <c r="D60">
        <v>2009</v>
      </c>
      <c r="E60">
        <v>12.2</v>
      </c>
      <c r="F60" t="s">
        <v>293</v>
      </c>
      <c r="G60" t="s">
        <v>350</v>
      </c>
      <c r="H60" t="s">
        <v>350</v>
      </c>
      <c r="O60" t="s">
        <v>272</v>
      </c>
      <c r="P60">
        <v>251027</v>
      </c>
    </row>
    <row r="61" spans="1:16" x14ac:dyDescent="0.2">
      <c r="A61" t="s">
        <v>314</v>
      </c>
      <c r="B61">
        <v>469138</v>
      </c>
      <c r="C61" t="s">
        <v>351</v>
      </c>
      <c r="D61">
        <v>2012</v>
      </c>
      <c r="E61">
        <v>5.2</v>
      </c>
      <c r="F61" t="s">
        <v>293</v>
      </c>
      <c r="G61" t="s">
        <v>343</v>
      </c>
      <c r="O61" t="s">
        <v>272</v>
      </c>
      <c r="P61">
        <v>251027</v>
      </c>
    </row>
    <row r="62" spans="1:16" x14ac:dyDescent="0.2">
      <c r="A62" t="s">
        <v>315</v>
      </c>
      <c r="B62">
        <v>469053</v>
      </c>
      <c r="C62" t="s">
        <v>352</v>
      </c>
      <c r="D62">
        <v>2003</v>
      </c>
      <c r="E62" t="s">
        <v>353</v>
      </c>
      <c r="F62" t="s">
        <v>282</v>
      </c>
      <c r="G62" s="2" t="s">
        <v>354</v>
      </c>
      <c r="O62" t="s">
        <v>272</v>
      </c>
      <c r="P62">
        <v>251027</v>
      </c>
    </row>
    <row r="63" spans="1:16" x14ac:dyDescent="0.2">
      <c r="A63" t="s">
        <v>316</v>
      </c>
      <c r="B63">
        <v>469063</v>
      </c>
      <c r="C63" t="s">
        <v>355</v>
      </c>
      <c r="D63">
        <v>2005</v>
      </c>
      <c r="E63">
        <v>41</v>
      </c>
      <c r="F63" t="s">
        <v>270</v>
      </c>
      <c r="G63" t="s">
        <v>275</v>
      </c>
      <c r="O63" t="s">
        <v>272</v>
      </c>
      <c r="P63">
        <v>251027</v>
      </c>
    </row>
    <row r="64" spans="1:16" x14ac:dyDescent="0.2">
      <c r="A64" t="s">
        <v>317</v>
      </c>
      <c r="B64">
        <v>469115</v>
      </c>
      <c r="C64" t="s">
        <v>356</v>
      </c>
      <c r="D64">
        <v>2006</v>
      </c>
      <c r="E64">
        <v>7.6</v>
      </c>
      <c r="F64" t="s">
        <v>270</v>
      </c>
      <c r="G64" t="s">
        <v>325</v>
      </c>
      <c r="O64" t="s">
        <v>272</v>
      </c>
      <c r="P64">
        <v>251027</v>
      </c>
    </row>
    <row r="65" spans="1:16" x14ac:dyDescent="0.2">
      <c r="A65" t="s">
        <v>318</v>
      </c>
      <c r="B65">
        <v>6014478</v>
      </c>
      <c r="C65" t="s">
        <v>357</v>
      </c>
      <c r="D65">
        <v>2019</v>
      </c>
      <c r="E65" t="s">
        <v>167</v>
      </c>
      <c r="F65" t="s">
        <v>282</v>
      </c>
      <c r="G65" s="2" t="s">
        <v>358</v>
      </c>
      <c r="O65" t="s">
        <v>289</v>
      </c>
      <c r="P65">
        <v>251027</v>
      </c>
    </row>
    <row r="66" spans="1:16" x14ac:dyDescent="0.2">
      <c r="A66" t="s">
        <v>319</v>
      </c>
      <c r="B66">
        <v>3700296</v>
      </c>
      <c r="C66" t="s">
        <v>212</v>
      </c>
      <c r="D66">
        <v>2010</v>
      </c>
      <c r="E66" t="s">
        <v>360</v>
      </c>
      <c r="F66" t="s">
        <v>282</v>
      </c>
      <c r="G66" t="s">
        <v>359</v>
      </c>
      <c r="O66" t="s">
        <v>289</v>
      </c>
      <c r="P66">
        <v>251027</v>
      </c>
    </row>
    <row r="67" spans="1:16" x14ac:dyDescent="0.2">
      <c r="A67" t="s">
        <v>320</v>
      </c>
      <c r="B67">
        <v>469058</v>
      </c>
      <c r="C67" t="s">
        <v>361</v>
      </c>
      <c r="D67">
        <v>2004</v>
      </c>
      <c r="E67">
        <v>7.5</v>
      </c>
      <c r="F67" t="s">
        <v>270</v>
      </c>
      <c r="G67" t="s">
        <v>362</v>
      </c>
      <c r="O67" t="s">
        <v>272</v>
      </c>
      <c r="P67">
        <v>251027</v>
      </c>
    </row>
    <row r="68" spans="1:16" x14ac:dyDescent="0.2">
      <c r="A68" t="s">
        <v>321</v>
      </c>
      <c r="B68">
        <v>3771777</v>
      </c>
      <c r="C68" t="s">
        <v>214</v>
      </c>
      <c r="D68">
        <v>2018</v>
      </c>
      <c r="E68" t="s">
        <v>364</v>
      </c>
      <c r="F68" t="s">
        <v>278</v>
      </c>
      <c r="G68" t="s">
        <v>363</v>
      </c>
      <c r="O68" t="s">
        <v>289</v>
      </c>
      <c r="P68">
        <v>251027</v>
      </c>
    </row>
    <row r="69" spans="1:16" x14ac:dyDescent="0.2">
      <c r="A69" t="s">
        <v>322</v>
      </c>
      <c r="B69">
        <v>2264695</v>
      </c>
      <c r="C69" t="s">
        <v>365</v>
      </c>
      <c r="D69">
        <v>2019</v>
      </c>
      <c r="E69" t="s">
        <v>366</v>
      </c>
      <c r="F69" t="s">
        <v>282</v>
      </c>
      <c r="G69" t="s">
        <v>367</v>
      </c>
      <c r="O69" t="s">
        <v>289</v>
      </c>
      <c r="P69">
        <v>251027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CFD7-2D93-ED49-85A6-ECF55F7067BF}">
  <dimension ref="A1:T136"/>
  <sheetViews>
    <sheetView topLeftCell="A48" workbookViewId="0">
      <selection activeCell="G76" sqref="G76"/>
    </sheetView>
  </sheetViews>
  <sheetFormatPr baseColWidth="10" defaultRowHeight="16" x14ac:dyDescent="0.2"/>
  <cols>
    <col min="1" max="1" width="15.1640625" bestFit="1" customWidth="1"/>
    <col min="4" max="4" width="12.6640625" bestFit="1" customWidth="1"/>
  </cols>
  <sheetData>
    <row r="1" spans="1:20" s="4" customFormat="1" x14ac:dyDescent="0.2">
      <c r="A1" s="4" t="s">
        <v>176</v>
      </c>
      <c r="B1" s="4" t="s">
        <v>0</v>
      </c>
      <c r="C1" s="4" t="s">
        <v>9</v>
      </c>
      <c r="D1" s="4" t="s">
        <v>1</v>
      </c>
      <c r="E1" s="4" t="s">
        <v>14</v>
      </c>
      <c r="F1" s="4" t="s">
        <v>72</v>
      </c>
      <c r="G1" s="4" t="s">
        <v>15</v>
      </c>
      <c r="H1" s="4" t="s">
        <v>23</v>
      </c>
      <c r="I1" s="4" t="s">
        <v>71</v>
      </c>
      <c r="J1" s="4" t="s">
        <v>70</v>
      </c>
      <c r="K1" s="4" t="s">
        <v>2</v>
      </c>
      <c r="L1" s="4" t="s">
        <v>3</v>
      </c>
      <c r="M1" s="4" t="s">
        <v>69</v>
      </c>
      <c r="N1" s="4" t="s">
        <v>156</v>
      </c>
      <c r="O1" s="4" t="s">
        <v>22</v>
      </c>
      <c r="P1" s="4" t="s">
        <v>67</v>
      </c>
      <c r="Q1" s="4" t="s">
        <v>101</v>
      </c>
      <c r="R1" s="4" t="s">
        <v>171</v>
      </c>
      <c r="S1" s="4" t="s">
        <v>172</v>
      </c>
      <c r="T1" s="4" t="s">
        <v>173</v>
      </c>
    </row>
    <row r="2" spans="1:20" x14ac:dyDescent="0.2">
      <c r="A2">
        <v>1</v>
      </c>
      <c r="B2" t="s">
        <v>37</v>
      </c>
      <c r="C2">
        <v>202449</v>
      </c>
      <c r="D2" t="s">
        <v>24</v>
      </c>
      <c r="E2">
        <v>2001</v>
      </c>
      <c r="F2">
        <v>10.3</v>
      </c>
      <c r="G2" t="s">
        <v>16</v>
      </c>
      <c r="H2" t="s">
        <v>53</v>
      </c>
      <c r="I2">
        <v>1.86</v>
      </c>
      <c r="J2">
        <v>6.1</v>
      </c>
      <c r="K2">
        <v>1.45</v>
      </c>
      <c r="L2">
        <v>-5.75</v>
      </c>
      <c r="M2" t="s">
        <v>91</v>
      </c>
    </row>
    <row r="3" spans="1:20" x14ac:dyDescent="0.2">
      <c r="A3">
        <v>1</v>
      </c>
      <c r="B3" t="s">
        <v>75</v>
      </c>
      <c r="C3">
        <v>202449</v>
      </c>
      <c r="D3" t="s">
        <v>24</v>
      </c>
      <c r="E3">
        <v>2001</v>
      </c>
      <c r="F3">
        <v>4.5999999999999996</v>
      </c>
      <c r="G3" t="s">
        <v>104</v>
      </c>
      <c r="H3" s="1" t="s">
        <v>107</v>
      </c>
      <c r="I3">
        <v>5.73</v>
      </c>
      <c r="J3">
        <v>30.3</v>
      </c>
      <c r="K3">
        <v>1.97</v>
      </c>
      <c r="L3">
        <v>-6.54</v>
      </c>
      <c r="M3" t="s">
        <v>128</v>
      </c>
    </row>
    <row r="4" spans="1:20" x14ac:dyDescent="0.2">
      <c r="A4">
        <v>2</v>
      </c>
      <c r="B4" t="s">
        <v>44</v>
      </c>
      <c r="C4">
        <v>216778</v>
      </c>
      <c r="D4" t="s">
        <v>31</v>
      </c>
      <c r="E4">
        <v>2016</v>
      </c>
      <c r="F4">
        <v>14.1</v>
      </c>
      <c r="G4" t="s">
        <v>16</v>
      </c>
      <c r="H4" s="1" t="s">
        <v>59</v>
      </c>
      <c r="I4">
        <v>8.32</v>
      </c>
      <c r="J4">
        <v>9.9</v>
      </c>
      <c r="K4">
        <v>1.65</v>
      </c>
      <c r="L4">
        <v>-0.7</v>
      </c>
      <c r="M4" t="s">
        <v>96</v>
      </c>
    </row>
    <row r="5" spans="1:20" x14ac:dyDescent="0.2">
      <c r="A5">
        <v>2</v>
      </c>
      <c r="B5" t="s">
        <v>82</v>
      </c>
      <c r="C5">
        <v>216778</v>
      </c>
      <c r="D5" t="s">
        <v>31</v>
      </c>
      <c r="E5">
        <v>2016</v>
      </c>
      <c r="F5">
        <v>5.4</v>
      </c>
      <c r="G5" t="s">
        <v>104</v>
      </c>
      <c r="H5" s="1" t="s">
        <v>109</v>
      </c>
      <c r="I5">
        <v>4.9000000000000004</v>
      </c>
      <c r="J5">
        <v>10.8</v>
      </c>
      <c r="K5">
        <v>1.65</v>
      </c>
      <c r="L5">
        <v>-1</v>
      </c>
      <c r="M5" t="s">
        <v>135</v>
      </c>
    </row>
    <row r="6" spans="1:20" x14ac:dyDescent="0.2">
      <c r="A6">
        <v>3</v>
      </c>
      <c r="B6" s="10" t="s">
        <v>45</v>
      </c>
      <c r="C6" s="10">
        <v>215180</v>
      </c>
      <c r="D6" s="10" t="s">
        <v>32</v>
      </c>
      <c r="E6" s="10">
        <v>2017</v>
      </c>
      <c r="F6" s="10">
        <v>9.3000000000000007</v>
      </c>
      <c r="G6" s="10" t="s">
        <v>16</v>
      </c>
      <c r="H6" s="11" t="s">
        <v>60</v>
      </c>
      <c r="I6" s="10">
        <v>27.7</v>
      </c>
      <c r="J6" s="10">
        <v>38.200000000000003</v>
      </c>
      <c r="K6" s="10">
        <v>1.8</v>
      </c>
      <c r="L6" s="10">
        <v>3.72</v>
      </c>
      <c r="M6" s="10" t="s">
        <v>98</v>
      </c>
      <c r="N6" s="10"/>
      <c r="O6" s="10"/>
    </row>
    <row r="7" spans="1:20" ht="19" x14ac:dyDescent="0.25">
      <c r="A7">
        <v>3</v>
      </c>
      <c r="B7" t="s">
        <v>83</v>
      </c>
      <c r="C7">
        <v>215180</v>
      </c>
      <c r="D7" t="s">
        <v>32</v>
      </c>
      <c r="E7">
        <v>2017</v>
      </c>
      <c r="F7">
        <v>4.2</v>
      </c>
      <c r="G7" t="s">
        <v>104</v>
      </c>
      <c r="H7" s="1" t="s">
        <v>105</v>
      </c>
      <c r="I7">
        <v>0.307</v>
      </c>
      <c r="J7" s="3">
        <v>0.8</v>
      </c>
      <c r="K7">
        <v>-5.92</v>
      </c>
      <c r="L7">
        <v>0.04</v>
      </c>
      <c r="M7" t="s">
        <v>136</v>
      </c>
    </row>
    <row r="8" spans="1:20" x14ac:dyDescent="0.2">
      <c r="A8">
        <v>4</v>
      </c>
      <c r="B8" s="10" t="s">
        <v>40</v>
      </c>
      <c r="C8" s="10">
        <v>202480</v>
      </c>
      <c r="D8" s="10" t="s">
        <v>27</v>
      </c>
      <c r="E8" s="10">
        <v>2004</v>
      </c>
      <c r="F8" s="10">
        <v>3.6</v>
      </c>
      <c r="G8" s="10" t="s">
        <v>16</v>
      </c>
      <c r="H8" s="11" t="s">
        <v>55</v>
      </c>
      <c r="I8" s="10">
        <v>7</v>
      </c>
      <c r="J8" s="10">
        <v>15.1</v>
      </c>
      <c r="K8" s="10">
        <v>1.78</v>
      </c>
      <c r="L8" s="10">
        <v>4.21</v>
      </c>
      <c r="M8" s="10" t="s">
        <v>94</v>
      </c>
    </row>
    <row r="9" spans="1:20" x14ac:dyDescent="0.2">
      <c r="A9">
        <v>4</v>
      </c>
      <c r="B9" t="s">
        <v>78</v>
      </c>
      <c r="C9">
        <v>202480</v>
      </c>
      <c r="D9" t="s">
        <v>27</v>
      </c>
      <c r="E9">
        <v>2004</v>
      </c>
      <c r="F9">
        <v>3.4</v>
      </c>
      <c r="G9" t="s">
        <v>104</v>
      </c>
      <c r="H9" s="1" t="s">
        <v>108</v>
      </c>
      <c r="I9">
        <v>0.81899999999999995</v>
      </c>
      <c r="J9">
        <v>6.4</v>
      </c>
      <c r="K9">
        <v>1.94</v>
      </c>
      <c r="L9">
        <v>-0.42</v>
      </c>
      <c r="M9" t="s">
        <v>131</v>
      </c>
    </row>
    <row r="10" spans="1:20" x14ac:dyDescent="0.2">
      <c r="A10">
        <v>5</v>
      </c>
      <c r="B10" s="8" t="s">
        <v>48</v>
      </c>
      <c r="C10" s="8">
        <v>3630484</v>
      </c>
      <c r="D10" s="8" t="s">
        <v>35</v>
      </c>
      <c r="E10" s="8">
        <v>2019</v>
      </c>
      <c r="F10" s="8">
        <v>13.3</v>
      </c>
      <c r="G10" s="8" t="s">
        <v>16</v>
      </c>
      <c r="H10" s="9" t="s">
        <v>63</v>
      </c>
      <c r="I10" s="8" t="s">
        <v>89</v>
      </c>
      <c r="J10" s="8" t="s">
        <v>89</v>
      </c>
      <c r="K10" s="8" t="s">
        <v>89</v>
      </c>
      <c r="L10" s="8" t="s">
        <v>89</v>
      </c>
      <c r="M10" s="8" t="s">
        <v>89</v>
      </c>
      <c r="N10" s="8"/>
      <c r="O10" s="8"/>
      <c r="P10" s="8"/>
    </row>
    <row r="11" spans="1:20" x14ac:dyDescent="0.2">
      <c r="A11">
        <v>5</v>
      </c>
      <c r="B11" s="8" t="s">
        <v>65</v>
      </c>
      <c r="C11" s="8">
        <v>3630484</v>
      </c>
      <c r="D11" s="8" t="s">
        <v>35</v>
      </c>
      <c r="E11" s="8">
        <v>2019</v>
      </c>
      <c r="F11" s="8">
        <v>3.6</v>
      </c>
      <c r="G11" s="8" t="s">
        <v>16</v>
      </c>
      <c r="H11" s="9" t="s">
        <v>99</v>
      </c>
      <c r="I11" s="8">
        <v>0.68200000000000005</v>
      </c>
      <c r="J11" s="8">
        <v>5.6</v>
      </c>
      <c r="K11" s="8">
        <v>1.36</v>
      </c>
      <c r="L11" s="8">
        <v>1.39</v>
      </c>
      <c r="M11" s="8" t="s">
        <v>90</v>
      </c>
      <c r="N11" s="8"/>
      <c r="O11" s="8"/>
      <c r="P11" s="8"/>
    </row>
    <row r="12" spans="1:20" x14ac:dyDescent="0.2">
      <c r="A12">
        <v>5</v>
      </c>
      <c r="B12" s="8" t="s">
        <v>86</v>
      </c>
      <c r="C12" s="8">
        <v>3630484</v>
      </c>
      <c r="D12" s="8" t="s">
        <v>35</v>
      </c>
      <c r="E12" s="8">
        <v>2019</v>
      </c>
      <c r="F12" s="8">
        <v>3.3</v>
      </c>
      <c r="G12" s="8" t="s">
        <v>73</v>
      </c>
      <c r="H12" s="9" t="s">
        <v>100</v>
      </c>
      <c r="I12" s="8">
        <v>0.39700000000000002</v>
      </c>
      <c r="J12" s="8">
        <v>3.6</v>
      </c>
      <c r="K12" s="8">
        <v>2.61</v>
      </c>
      <c r="L12" s="8">
        <v>-0.32</v>
      </c>
      <c r="M12" s="8" t="s">
        <v>138</v>
      </c>
      <c r="N12" s="8"/>
      <c r="O12" s="8"/>
      <c r="P12" s="8"/>
    </row>
    <row r="13" spans="1:20" x14ac:dyDescent="0.2">
      <c r="A13">
        <v>6</v>
      </c>
      <c r="B13" t="s">
        <v>49</v>
      </c>
      <c r="C13">
        <v>5752868</v>
      </c>
      <c r="D13" t="s">
        <v>36</v>
      </c>
      <c r="E13">
        <v>2022</v>
      </c>
      <c r="F13">
        <v>6.1</v>
      </c>
      <c r="G13" t="s">
        <v>16</v>
      </c>
      <c r="H13" s="1" t="s">
        <v>64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</row>
    <row r="14" spans="1:20" x14ac:dyDescent="0.2">
      <c r="A14">
        <v>6</v>
      </c>
      <c r="B14" s="11" t="s">
        <v>66</v>
      </c>
      <c r="C14" s="10">
        <v>5752868</v>
      </c>
      <c r="D14" s="11" t="s">
        <v>36</v>
      </c>
      <c r="E14" s="11">
        <v>2022</v>
      </c>
      <c r="F14" s="11">
        <v>2</v>
      </c>
      <c r="G14" s="11" t="s">
        <v>104</v>
      </c>
      <c r="H14" s="10" t="s">
        <v>99</v>
      </c>
      <c r="I14" s="10">
        <v>6.04</v>
      </c>
      <c r="J14" s="10">
        <v>6.6</v>
      </c>
      <c r="K14" s="10">
        <v>1.7</v>
      </c>
      <c r="L14" s="10">
        <v>-4.0599999999999996</v>
      </c>
      <c r="M14" s="10" t="s">
        <v>127</v>
      </c>
    </row>
    <row r="15" spans="1:20" x14ac:dyDescent="0.2">
      <c r="A15">
        <v>7</v>
      </c>
      <c r="B15" t="s">
        <v>38</v>
      </c>
      <c r="C15">
        <v>293450</v>
      </c>
      <c r="D15" t="s">
        <v>25</v>
      </c>
      <c r="E15">
        <v>2001</v>
      </c>
      <c r="F15">
        <v>2.1</v>
      </c>
      <c r="G15" t="s">
        <v>16</v>
      </c>
      <c r="H15" t="s">
        <v>50</v>
      </c>
      <c r="I15">
        <v>0.64800000000000002</v>
      </c>
      <c r="J15">
        <v>4.5</v>
      </c>
      <c r="K15">
        <v>1.35</v>
      </c>
      <c r="L15">
        <v>1.03</v>
      </c>
      <c r="M15" t="s">
        <v>92</v>
      </c>
    </row>
    <row r="16" spans="1:20" x14ac:dyDescent="0.2">
      <c r="A16">
        <v>7</v>
      </c>
      <c r="B16" s="12" t="s">
        <v>76</v>
      </c>
      <c r="C16" s="12">
        <v>293450</v>
      </c>
      <c r="D16" s="12" t="s">
        <v>25</v>
      </c>
      <c r="E16" s="12">
        <v>2001</v>
      </c>
      <c r="F16" s="12">
        <v>5</v>
      </c>
      <c r="G16" s="12" t="s">
        <v>16</v>
      </c>
      <c r="H16" s="10" t="s">
        <v>102</v>
      </c>
      <c r="I16" s="10">
        <v>6.7</v>
      </c>
      <c r="J16" s="10">
        <v>70.7</v>
      </c>
      <c r="K16" s="10">
        <v>2.12</v>
      </c>
      <c r="L16" s="10">
        <v>6.68</v>
      </c>
      <c r="M16" s="10" t="s">
        <v>129</v>
      </c>
    </row>
    <row r="17" spans="1:16" x14ac:dyDescent="0.2">
      <c r="A17">
        <v>8</v>
      </c>
      <c r="B17" s="6" t="s">
        <v>42</v>
      </c>
      <c r="C17" s="6">
        <v>292533</v>
      </c>
      <c r="D17" s="6" t="s">
        <v>29</v>
      </c>
      <c r="E17" s="6">
        <v>2007</v>
      </c>
      <c r="F17" s="6">
        <v>12.3</v>
      </c>
      <c r="G17" s="6" t="s">
        <v>16</v>
      </c>
      <c r="H17" s="6" t="s">
        <v>57</v>
      </c>
      <c r="I17" s="6">
        <v>0.34599999999999997</v>
      </c>
      <c r="J17" s="6">
        <v>2.2999999999999998</v>
      </c>
      <c r="K17" s="6">
        <v>1.19</v>
      </c>
      <c r="L17" s="6">
        <v>-1.04</v>
      </c>
      <c r="M17" s="6" t="s">
        <v>96</v>
      </c>
      <c r="N17" s="6"/>
      <c r="O17" s="6"/>
      <c r="P17" s="6"/>
    </row>
    <row r="18" spans="1:16" x14ac:dyDescent="0.2">
      <c r="A18">
        <v>8</v>
      </c>
      <c r="B18" s="6" t="s">
        <v>80</v>
      </c>
      <c r="C18" s="6">
        <v>292533</v>
      </c>
      <c r="D18" s="6" t="s">
        <v>29</v>
      </c>
      <c r="E18" s="6">
        <v>2007</v>
      </c>
      <c r="F18" s="6">
        <v>0.2</v>
      </c>
      <c r="G18" s="6" t="s">
        <v>16</v>
      </c>
      <c r="H18" s="6" t="s">
        <v>103</v>
      </c>
      <c r="I18" s="6">
        <v>0</v>
      </c>
      <c r="J18" s="6">
        <v>1.8</v>
      </c>
      <c r="K18" s="6">
        <v>7.94</v>
      </c>
      <c r="L18" s="6">
        <v>-0.15</v>
      </c>
      <c r="M18" s="6" t="s">
        <v>133</v>
      </c>
      <c r="N18" s="6"/>
      <c r="O18" s="6"/>
      <c r="P18" s="6"/>
    </row>
    <row r="19" spans="1:16" x14ac:dyDescent="0.2">
      <c r="A19">
        <v>9</v>
      </c>
      <c r="B19" t="s">
        <v>39</v>
      </c>
      <c r="C19">
        <v>330069</v>
      </c>
      <c r="D19" t="s">
        <v>26</v>
      </c>
      <c r="E19">
        <v>2002</v>
      </c>
      <c r="F19">
        <v>9.5</v>
      </c>
      <c r="G19" t="s">
        <v>16</v>
      </c>
      <c r="H19" t="s">
        <v>54</v>
      </c>
      <c r="I19">
        <v>0.878</v>
      </c>
      <c r="J19">
        <v>6.3</v>
      </c>
      <c r="K19">
        <v>1.46</v>
      </c>
      <c r="L19">
        <v>0.73</v>
      </c>
      <c r="M19" t="s">
        <v>93</v>
      </c>
    </row>
    <row r="20" spans="1:16" x14ac:dyDescent="0.2">
      <c r="A20">
        <v>9</v>
      </c>
      <c r="B20" s="10" t="s">
        <v>77</v>
      </c>
      <c r="C20" s="10">
        <v>330069</v>
      </c>
      <c r="D20" s="10" t="s">
        <v>26</v>
      </c>
      <c r="E20" s="10">
        <v>2002</v>
      </c>
      <c r="F20" s="10">
        <v>5.7</v>
      </c>
      <c r="G20" s="10" t="s">
        <v>104</v>
      </c>
      <c r="H20" s="10" t="s">
        <v>110</v>
      </c>
      <c r="I20" s="10">
        <v>2.12</v>
      </c>
      <c r="J20" s="10">
        <v>37.1</v>
      </c>
      <c r="K20" s="10">
        <v>2.0499999999999998</v>
      </c>
      <c r="L20" s="10">
        <v>-19.59</v>
      </c>
      <c r="M20" s="10" t="s">
        <v>130</v>
      </c>
      <c r="N20" s="10"/>
      <c r="O20" s="10"/>
      <c r="P20" s="10"/>
    </row>
    <row r="21" spans="1:16" x14ac:dyDescent="0.2">
      <c r="A21">
        <v>10</v>
      </c>
      <c r="B21" t="s">
        <v>43</v>
      </c>
      <c r="C21">
        <v>1895626</v>
      </c>
      <c r="D21" t="s">
        <v>30</v>
      </c>
      <c r="E21">
        <v>2009</v>
      </c>
      <c r="F21">
        <v>14.9</v>
      </c>
      <c r="G21" t="s">
        <v>16</v>
      </c>
      <c r="H21" t="s">
        <v>58</v>
      </c>
      <c r="I21">
        <v>0.378</v>
      </c>
      <c r="J21">
        <v>2.2999999999999998</v>
      </c>
      <c r="K21">
        <v>1.84</v>
      </c>
      <c r="L21">
        <v>-0.54</v>
      </c>
      <c r="M21" t="s">
        <v>96</v>
      </c>
    </row>
    <row r="22" spans="1:16" x14ac:dyDescent="0.2">
      <c r="A22">
        <v>10</v>
      </c>
      <c r="B22" s="10" t="s">
        <v>81</v>
      </c>
      <c r="C22" s="10">
        <v>1895626</v>
      </c>
      <c r="D22" s="10" t="s">
        <v>30</v>
      </c>
      <c r="E22" s="10">
        <v>2009</v>
      </c>
      <c r="F22" s="10">
        <v>1.2</v>
      </c>
      <c r="G22" s="10" t="s">
        <v>16</v>
      </c>
      <c r="H22" s="10" t="s">
        <v>112</v>
      </c>
      <c r="I22" s="10">
        <v>11.6</v>
      </c>
      <c r="J22" s="10">
        <v>63.3</v>
      </c>
      <c r="K22" s="10">
        <v>2</v>
      </c>
      <c r="L22" s="10">
        <v>2.2599999999999998</v>
      </c>
      <c r="M22" s="10" t="s">
        <v>134</v>
      </c>
    </row>
    <row r="23" spans="1:16" x14ac:dyDescent="0.2">
      <c r="A23">
        <v>11</v>
      </c>
      <c r="B23" t="s">
        <v>41</v>
      </c>
      <c r="C23">
        <v>1896191</v>
      </c>
      <c r="D23" t="s">
        <v>28</v>
      </c>
      <c r="E23">
        <v>2005</v>
      </c>
      <c r="F23">
        <v>22</v>
      </c>
      <c r="G23" t="s">
        <v>16</v>
      </c>
      <c r="H23" t="s">
        <v>56</v>
      </c>
      <c r="I23">
        <v>0.14799999999999999</v>
      </c>
      <c r="J23">
        <v>-0.5</v>
      </c>
      <c r="K23">
        <v>-1.18</v>
      </c>
      <c r="L23">
        <v>0.08</v>
      </c>
      <c r="M23" t="s">
        <v>95</v>
      </c>
    </row>
    <row r="24" spans="1:16" x14ac:dyDescent="0.2">
      <c r="A24">
        <v>11</v>
      </c>
      <c r="B24" s="10" t="s">
        <v>79</v>
      </c>
      <c r="C24" s="10">
        <v>1896191</v>
      </c>
      <c r="D24" s="10" t="s">
        <v>28</v>
      </c>
      <c r="E24" s="10">
        <v>2005</v>
      </c>
      <c r="F24" s="10">
        <v>3.1</v>
      </c>
      <c r="G24" s="10" t="s">
        <v>104</v>
      </c>
      <c r="H24" s="10" t="s">
        <v>111</v>
      </c>
      <c r="I24" s="10">
        <v>4.03</v>
      </c>
      <c r="J24" s="10">
        <v>40.700000000000003</v>
      </c>
      <c r="K24" s="10">
        <v>2.09</v>
      </c>
      <c r="L24" s="10">
        <v>-15.97</v>
      </c>
      <c r="M24" s="10" t="s">
        <v>132</v>
      </c>
    </row>
    <row r="25" spans="1:16" x14ac:dyDescent="0.2">
      <c r="A25">
        <v>12</v>
      </c>
      <c r="B25" s="6" t="s">
        <v>46</v>
      </c>
      <c r="C25" s="6">
        <v>3964300</v>
      </c>
      <c r="D25" s="6" t="s">
        <v>33</v>
      </c>
      <c r="E25" s="6">
        <v>2017</v>
      </c>
      <c r="F25" s="6">
        <v>8.3000000000000007</v>
      </c>
      <c r="G25" s="6" t="s">
        <v>16</v>
      </c>
      <c r="H25" s="6" t="s">
        <v>61</v>
      </c>
      <c r="I25" s="6">
        <v>0.24</v>
      </c>
      <c r="J25" s="6">
        <v>1</v>
      </c>
      <c r="K25" s="6">
        <v>2.0099999999999998</v>
      </c>
      <c r="L25" s="6">
        <v>-0.17</v>
      </c>
      <c r="M25" s="6" t="s">
        <v>97</v>
      </c>
      <c r="N25" s="6"/>
      <c r="O25" s="6"/>
      <c r="P25" s="6"/>
    </row>
    <row r="26" spans="1:16" ht="19" x14ac:dyDescent="0.25">
      <c r="A26">
        <v>12</v>
      </c>
      <c r="B26" s="6" t="s">
        <v>84</v>
      </c>
      <c r="C26" s="6">
        <v>3964300</v>
      </c>
      <c r="D26" s="6" t="s">
        <v>33</v>
      </c>
      <c r="E26" s="6">
        <v>2017</v>
      </c>
      <c r="F26" s="6">
        <v>3.1</v>
      </c>
      <c r="G26" s="6" t="s">
        <v>104</v>
      </c>
      <c r="H26" s="6" t="s">
        <v>113</v>
      </c>
      <c r="I26" s="6">
        <v>0.30199999999999999</v>
      </c>
      <c r="J26" s="7">
        <v>5.3</v>
      </c>
      <c r="K26" s="6">
        <v>1.81</v>
      </c>
      <c r="L26" s="6">
        <v>-5.32</v>
      </c>
      <c r="M26" s="6" t="s">
        <v>137</v>
      </c>
      <c r="N26" s="6"/>
      <c r="O26" s="6"/>
      <c r="P26" s="6"/>
    </row>
    <row r="27" spans="1:16" x14ac:dyDescent="0.2">
      <c r="A27">
        <v>13</v>
      </c>
      <c r="B27" t="s">
        <v>47</v>
      </c>
      <c r="C27">
        <v>4064867</v>
      </c>
      <c r="D27" t="s">
        <v>34</v>
      </c>
      <c r="E27">
        <v>2017</v>
      </c>
      <c r="F27">
        <v>16.899999999999999</v>
      </c>
      <c r="G27" t="s">
        <v>16</v>
      </c>
      <c r="H27" t="s">
        <v>62</v>
      </c>
      <c r="I27">
        <v>24.7</v>
      </c>
      <c r="J27">
        <v>28.1</v>
      </c>
      <c r="K27">
        <v>1.82</v>
      </c>
      <c r="L27">
        <v>2.36</v>
      </c>
      <c r="M27" t="s">
        <v>98</v>
      </c>
    </row>
    <row r="28" spans="1:16" x14ac:dyDescent="0.2">
      <c r="A28">
        <v>13</v>
      </c>
      <c r="B28" s="10" t="s">
        <v>85</v>
      </c>
      <c r="C28" s="10">
        <v>4064867</v>
      </c>
      <c r="D28" s="10" t="s">
        <v>34</v>
      </c>
      <c r="E28" s="10">
        <v>2017</v>
      </c>
      <c r="F28" s="10">
        <v>3.8</v>
      </c>
      <c r="G28" s="10" t="s">
        <v>104</v>
      </c>
      <c r="H28" s="10" t="s">
        <v>106</v>
      </c>
      <c r="I28" s="10">
        <v>28.5</v>
      </c>
      <c r="J28" s="10">
        <v>190.4</v>
      </c>
      <c r="K28" s="10">
        <v>2.15</v>
      </c>
      <c r="L28" s="10">
        <v>3.31</v>
      </c>
      <c r="M28" s="10" t="s">
        <v>134</v>
      </c>
    </row>
    <row r="29" spans="1:16" x14ac:dyDescent="0.2">
      <c r="A29">
        <v>14</v>
      </c>
      <c r="C29">
        <v>3792159</v>
      </c>
      <c r="D29" t="s">
        <v>177</v>
      </c>
      <c r="E29">
        <v>1953</v>
      </c>
    </row>
    <row r="30" spans="1:16" x14ac:dyDescent="0.2">
      <c r="A30">
        <v>14</v>
      </c>
      <c r="C30">
        <v>3792160</v>
      </c>
      <c r="D30" t="s">
        <v>178</v>
      </c>
      <c r="E30">
        <v>1953</v>
      </c>
    </row>
    <row r="31" spans="1:16" x14ac:dyDescent="0.2">
      <c r="A31">
        <v>15</v>
      </c>
      <c r="C31">
        <v>3792168</v>
      </c>
      <c r="D31" t="s">
        <v>179</v>
      </c>
      <c r="E31">
        <v>1954</v>
      </c>
    </row>
    <row r="32" spans="1:16" x14ac:dyDescent="0.2">
      <c r="A32">
        <v>15</v>
      </c>
      <c r="C32">
        <v>3792176</v>
      </c>
      <c r="D32" t="s">
        <v>180</v>
      </c>
      <c r="E32">
        <v>1954</v>
      </c>
    </row>
    <row r="33" spans="1:8" x14ac:dyDescent="0.2">
      <c r="A33">
        <v>16</v>
      </c>
      <c r="C33">
        <v>3792161</v>
      </c>
      <c r="D33" t="s">
        <v>181</v>
      </c>
      <c r="E33">
        <v>1964</v>
      </c>
    </row>
    <row r="34" spans="1:8" x14ac:dyDescent="0.2">
      <c r="A34">
        <v>16</v>
      </c>
      <c r="C34">
        <v>3792169</v>
      </c>
      <c r="D34" t="s">
        <v>182</v>
      </c>
      <c r="E34">
        <v>1964</v>
      </c>
      <c r="H34" s="14"/>
    </row>
    <row r="35" spans="1:8" x14ac:dyDescent="0.2">
      <c r="A35">
        <v>16</v>
      </c>
      <c r="C35">
        <v>3792166</v>
      </c>
      <c r="D35" t="s">
        <v>183</v>
      </c>
      <c r="E35">
        <v>1965</v>
      </c>
    </row>
    <row r="36" spans="1:8" x14ac:dyDescent="0.2">
      <c r="A36">
        <v>16</v>
      </c>
      <c r="C36">
        <v>3792175</v>
      </c>
      <c r="D36" t="s">
        <v>184</v>
      </c>
      <c r="E36">
        <v>1965</v>
      </c>
    </row>
    <row r="37" spans="1:8" x14ac:dyDescent="0.2">
      <c r="A37">
        <v>16</v>
      </c>
      <c r="C37">
        <v>3792177</v>
      </c>
      <c r="D37" t="s">
        <v>185</v>
      </c>
      <c r="E37">
        <v>1965</v>
      </c>
    </row>
    <row r="38" spans="1:8" x14ac:dyDescent="0.2">
      <c r="A38">
        <v>16</v>
      </c>
      <c r="C38">
        <v>3792172</v>
      </c>
      <c r="D38" t="s">
        <v>186</v>
      </c>
      <c r="E38">
        <v>1967</v>
      </c>
    </row>
    <row r="39" spans="1:8" x14ac:dyDescent="0.2">
      <c r="A39">
        <v>16</v>
      </c>
      <c r="C39">
        <v>3792164</v>
      </c>
      <c r="D39" t="s">
        <v>187</v>
      </c>
      <c r="E39">
        <v>1968</v>
      </c>
    </row>
    <row r="40" spans="1:8" x14ac:dyDescent="0.2">
      <c r="A40">
        <v>17</v>
      </c>
      <c r="C40">
        <v>3792170</v>
      </c>
      <c r="D40" t="s">
        <v>188</v>
      </c>
      <c r="E40">
        <v>1974</v>
      </c>
    </row>
    <row r="41" spans="1:8" x14ac:dyDescent="0.2">
      <c r="A41">
        <v>17</v>
      </c>
      <c r="C41">
        <v>3792156</v>
      </c>
      <c r="D41" t="s">
        <v>189</v>
      </c>
      <c r="E41">
        <v>1978</v>
      </c>
    </row>
    <row r="42" spans="1:8" x14ac:dyDescent="0.2">
      <c r="A42">
        <v>18</v>
      </c>
      <c r="C42">
        <v>3792182</v>
      </c>
      <c r="D42" t="s">
        <v>190</v>
      </c>
      <c r="E42">
        <v>1967</v>
      </c>
    </row>
    <row r="43" spans="1:8" x14ac:dyDescent="0.2">
      <c r="A43">
        <v>18</v>
      </c>
      <c r="C43">
        <v>3792185</v>
      </c>
      <c r="D43" t="s">
        <v>191</v>
      </c>
      <c r="E43">
        <v>1967</v>
      </c>
    </row>
    <row r="44" spans="1:8" x14ac:dyDescent="0.2">
      <c r="A44">
        <v>19</v>
      </c>
      <c r="C44">
        <v>3792183</v>
      </c>
      <c r="D44" t="s">
        <v>192</v>
      </c>
      <c r="E44">
        <v>1974</v>
      </c>
    </row>
    <row r="45" spans="1:8" x14ac:dyDescent="0.2">
      <c r="A45">
        <v>19</v>
      </c>
      <c r="C45">
        <v>3792195</v>
      </c>
      <c r="D45" t="s">
        <v>193</v>
      </c>
      <c r="E45">
        <v>1974</v>
      </c>
    </row>
    <row r="46" spans="1:8" x14ac:dyDescent="0.2">
      <c r="A46">
        <v>19</v>
      </c>
      <c r="C46">
        <v>3792198</v>
      </c>
      <c r="D46" t="s">
        <v>194</v>
      </c>
      <c r="E46">
        <v>1974</v>
      </c>
    </row>
    <row r="47" spans="1:8" x14ac:dyDescent="0.2">
      <c r="A47">
        <v>20</v>
      </c>
      <c r="C47">
        <v>3792192</v>
      </c>
      <c r="D47" t="s">
        <v>195</v>
      </c>
      <c r="E47">
        <v>1981</v>
      </c>
    </row>
    <row r="48" spans="1:8" x14ac:dyDescent="0.2">
      <c r="A48">
        <v>20</v>
      </c>
      <c r="C48">
        <v>3792193</v>
      </c>
      <c r="D48" t="s">
        <v>196</v>
      </c>
      <c r="E48">
        <v>1981</v>
      </c>
    </row>
    <row r="49" spans="1:12" x14ac:dyDescent="0.2">
      <c r="A49">
        <v>21</v>
      </c>
      <c r="C49">
        <v>148536</v>
      </c>
      <c r="D49" t="s">
        <v>197</v>
      </c>
      <c r="E49">
        <v>1967</v>
      </c>
    </row>
    <row r="50" spans="1:12" x14ac:dyDescent="0.2">
      <c r="A50">
        <v>21</v>
      </c>
      <c r="C50">
        <v>92289</v>
      </c>
      <c r="D50" t="s">
        <v>198</v>
      </c>
      <c r="E50">
        <v>1967</v>
      </c>
    </row>
    <row r="51" spans="1:12" x14ac:dyDescent="0.2">
      <c r="A51">
        <v>22</v>
      </c>
      <c r="C51">
        <v>80367</v>
      </c>
      <c r="D51" t="s">
        <v>199</v>
      </c>
      <c r="E51">
        <v>2007</v>
      </c>
    </row>
    <row r="52" spans="1:12" x14ac:dyDescent="0.2">
      <c r="A52">
        <v>22</v>
      </c>
      <c r="C52" s="15">
        <v>292533</v>
      </c>
      <c r="D52" t="s">
        <v>29</v>
      </c>
      <c r="E52">
        <v>2007</v>
      </c>
    </row>
    <row r="53" spans="1:12" x14ac:dyDescent="0.2">
      <c r="A53">
        <v>23</v>
      </c>
      <c r="C53">
        <v>36646</v>
      </c>
      <c r="D53" t="s">
        <v>200</v>
      </c>
      <c r="E53">
        <v>1943</v>
      </c>
    </row>
    <row r="54" spans="1:12" x14ac:dyDescent="0.2">
      <c r="A54">
        <v>23</v>
      </c>
      <c r="C54" s="15">
        <v>49117</v>
      </c>
      <c r="D54" t="s">
        <v>203</v>
      </c>
      <c r="E54">
        <v>1943</v>
      </c>
    </row>
    <row r="55" spans="1:12" x14ac:dyDescent="0.2">
      <c r="A55">
        <v>23</v>
      </c>
      <c r="C55" s="15">
        <v>130694</v>
      </c>
      <c r="D55" t="s">
        <v>202</v>
      </c>
      <c r="E55">
        <v>1944</v>
      </c>
    </row>
    <row r="56" spans="1:12" x14ac:dyDescent="0.2">
      <c r="A56">
        <v>23</v>
      </c>
      <c r="C56" s="15">
        <v>87856</v>
      </c>
      <c r="D56" t="s">
        <v>201</v>
      </c>
      <c r="E56">
        <v>1944</v>
      </c>
    </row>
    <row r="57" spans="1:12" x14ac:dyDescent="0.2">
      <c r="A57">
        <v>23</v>
      </c>
      <c r="C57">
        <v>61217</v>
      </c>
      <c r="D57" t="s">
        <v>204</v>
      </c>
      <c r="E57">
        <v>1944</v>
      </c>
    </row>
    <row r="58" spans="1:12" x14ac:dyDescent="0.2">
      <c r="A58">
        <v>24</v>
      </c>
      <c r="C58">
        <v>57675</v>
      </c>
      <c r="D58" t="s">
        <v>205</v>
      </c>
      <c r="E58">
        <v>1964</v>
      </c>
    </row>
    <row r="59" spans="1:12" x14ac:dyDescent="0.2">
      <c r="A59">
        <v>24</v>
      </c>
      <c r="C59" s="15">
        <v>304568</v>
      </c>
      <c r="D59" t="s">
        <v>206</v>
      </c>
      <c r="E59">
        <v>1964</v>
      </c>
      <c r="L59" s="16"/>
    </row>
    <row r="60" spans="1:12" x14ac:dyDescent="0.2">
      <c r="A60">
        <v>25</v>
      </c>
      <c r="C60">
        <v>55059</v>
      </c>
      <c r="D60" t="s">
        <v>207</v>
      </c>
      <c r="E60">
        <v>1967</v>
      </c>
    </row>
    <row r="61" spans="1:12" x14ac:dyDescent="0.2">
      <c r="A61">
        <v>25</v>
      </c>
      <c r="C61" s="15">
        <v>92110</v>
      </c>
      <c r="D61" t="s">
        <v>208</v>
      </c>
      <c r="E61">
        <v>1967</v>
      </c>
      <c r="L61" s="16"/>
    </row>
    <row r="62" spans="1:12" x14ac:dyDescent="0.2">
      <c r="A62">
        <v>26</v>
      </c>
      <c r="C62">
        <v>33390</v>
      </c>
      <c r="D62" t="s">
        <v>209</v>
      </c>
      <c r="E62">
        <v>1988</v>
      </c>
    </row>
    <row r="63" spans="1:12" x14ac:dyDescent="0.2">
      <c r="A63">
        <v>26</v>
      </c>
      <c r="C63" s="15">
        <v>1459128</v>
      </c>
      <c r="D63" t="s">
        <v>210</v>
      </c>
      <c r="E63">
        <v>1988</v>
      </c>
    </row>
    <row r="64" spans="1:12" x14ac:dyDescent="0.2">
      <c r="A64">
        <v>27</v>
      </c>
      <c r="C64">
        <v>147598</v>
      </c>
      <c r="D64" t="s">
        <v>211</v>
      </c>
      <c r="E64">
        <v>2010</v>
      </c>
    </row>
    <row r="65" spans="1:13" x14ac:dyDescent="0.2">
      <c r="A65">
        <v>27</v>
      </c>
      <c r="C65" s="15">
        <v>3700296</v>
      </c>
      <c r="D65" t="s">
        <v>212</v>
      </c>
      <c r="E65">
        <v>2010</v>
      </c>
    </row>
    <row r="66" spans="1:13" x14ac:dyDescent="0.2">
      <c r="A66">
        <v>27</v>
      </c>
      <c r="C66">
        <v>407313</v>
      </c>
      <c r="D66" t="s">
        <v>213</v>
      </c>
      <c r="E66">
        <v>2010</v>
      </c>
    </row>
    <row r="67" spans="1:13" x14ac:dyDescent="0.2">
      <c r="A67">
        <v>28</v>
      </c>
      <c r="C67">
        <v>3771777</v>
      </c>
      <c r="D67" t="s">
        <v>214</v>
      </c>
      <c r="E67">
        <v>2018</v>
      </c>
    </row>
    <row r="68" spans="1:13" x14ac:dyDescent="0.2">
      <c r="A68">
        <v>28</v>
      </c>
      <c r="C68" s="15">
        <v>2890234</v>
      </c>
      <c r="D68" t="s">
        <v>215</v>
      </c>
      <c r="E68">
        <v>2018</v>
      </c>
      <c r="L68" s="16"/>
    </row>
    <row r="69" spans="1:13" x14ac:dyDescent="0.2">
      <c r="A69">
        <v>29</v>
      </c>
      <c r="C69">
        <v>675717</v>
      </c>
      <c r="D69" t="s">
        <v>8</v>
      </c>
      <c r="E69">
        <v>1967</v>
      </c>
    </row>
    <row r="70" spans="1:13" x14ac:dyDescent="0.2">
      <c r="A70">
        <v>29</v>
      </c>
      <c r="C70" s="15">
        <v>738882</v>
      </c>
      <c r="D70" t="s">
        <v>8</v>
      </c>
      <c r="E70">
        <v>1968</v>
      </c>
    </row>
    <row r="71" spans="1:13" x14ac:dyDescent="0.2">
      <c r="A71">
        <v>29</v>
      </c>
      <c r="C71" s="15">
        <v>1563687</v>
      </c>
      <c r="D71" t="s">
        <v>216</v>
      </c>
      <c r="E71">
        <v>1967</v>
      </c>
    </row>
    <row r="72" spans="1:13" x14ac:dyDescent="0.2">
      <c r="A72">
        <v>29</v>
      </c>
      <c r="C72" s="15">
        <v>1485142</v>
      </c>
      <c r="D72" t="s">
        <v>217</v>
      </c>
      <c r="E72">
        <v>1968</v>
      </c>
    </row>
    <row r="73" spans="1:13" x14ac:dyDescent="0.2">
      <c r="A73">
        <v>29</v>
      </c>
      <c r="C73" s="15">
        <v>1220864</v>
      </c>
      <c r="D73" t="s">
        <v>8</v>
      </c>
      <c r="E73">
        <v>1967</v>
      </c>
    </row>
    <row r="74" spans="1:13" x14ac:dyDescent="0.2">
      <c r="A74">
        <v>30</v>
      </c>
      <c r="C74" s="15">
        <v>631775</v>
      </c>
      <c r="E74">
        <v>1965</v>
      </c>
    </row>
    <row r="75" spans="1:13" x14ac:dyDescent="0.2">
      <c r="A75">
        <v>30</v>
      </c>
      <c r="C75" s="15">
        <v>631772</v>
      </c>
      <c r="E75">
        <v>1965</v>
      </c>
    </row>
    <row r="76" spans="1:13" x14ac:dyDescent="0.2">
      <c r="A76">
        <v>30</v>
      </c>
      <c r="C76" s="15">
        <v>631774</v>
      </c>
      <c r="E76">
        <v>1965</v>
      </c>
    </row>
    <row r="77" spans="1:13" x14ac:dyDescent="0.2">
      <c r="A77">
        <v>30</v>
      </c>
      <c r="C77" s="15">
        <v>631767</v>
      </c>
      <c r="E77">
        <v>1965</v>
      </c>
    </row>
    <row r="78" spans="1:13" x14ac:dyDescent="0.2">
      <c r="A78">
        <v>30</v>
      </c>
      <c r="C78" s="15">
        <v>631773</v>
      </c>
      <c r="E78">
        <v>1965</v>
      </c>
    </row>
    <row r="79" spans="1:13" x14ac:dyDescent="0.2">
      <c r="A79">
        <v>30</v>
      </c>
      <c r="C79">
        <v>631770</v>
      </c>
      <c r="D79" t="s">
        <v>218</v>
      </c>
      <c r="E79">
        <v>1965</v>
      </c>
      <c r="M79" s="16"/>
    </row>
    <row r="80" spans="1:13" x14ac:dyDescent="0.2">
      <c r="A80">
        <v>30</v>
      </c>
      <c r="C80">
        <v>631791</v>
      </c>
      <c r="E80">
        <v>1965</v>
      </c>
      <c r="M80" s="16"/>
    </row>
    <row r="81" spans="1:13" x14ac:dyDescent="0.2">
      <c r="A81">
        <v>30</v>
      </c>
      <c r="C81">
        <v>631790</v>
      </c>
      <c r="E81">
        <v>1965</v>
      </c>
    </row>
    <row r="82" spans="1:13" x14ac:dyDescent="0.2">
      <c r="A82">
        <v>31</v>
      </c>
      <c r="C82">
        <v>3591679</v>
      </c>
      <c r="D82" t="s">
        <v>219</v>
      </c>
      <c r="E82">
        <v>2015</v>
      </c>
      <c r="M82" s="16"/>
    </row>
    <row r="83" spans="1:13" x14ac:dyDescent="0.2">
      <c r="A83">
        <v>31</v>
      </c>
      <c r="C83" s="15">
        <v>3841582</v>
      </c>
      <c r="D83" t="s">
        <v>220</v>
      </c>
      <c r="E83">
        <v>2015</v>
      </c>
    </row>
    <row r="84" spans="1:13" x14ac:dyDescent="0.2">
      <c r="A84">
        <v>32</v>
      </c>
      <c r="C84">
        <v>1474364</v>
      </c>
      <c r="D84" t="s">
        <v>221</v>
      </c>
      <c r="E84">
        <v>1996</v>
      </c>
      <c r="M84" s="16"/>
    </row>
    <row r="85" spans="1:13" x14ac:dyDescent="0.2">
      <c r="A85">
        <v>32</v>
      </c>
      <c r="C85" s="15">
        <v>202464</v>
      </c>
      <c r="D85" t="s">
        <v>222</v>
      </c>
      <c r="E85">
        <v>1993</v>
      </c>
    </row>
    <row r="86" spans="1:13" x14ac:dyDescent="0.2">
      <c r="A86">
        <v>33</v>
      </c>
      <c r="C86">
        <v>1675351</v>
      </c>
      <c r="D86" t="s">
        <v>223</v>
      </c>
      <c r="E86">
        <v>2010</v>
      </c>
    </row>
    <row r="87" spans="1:13" x14ac:dyDescent="0.2">
      <c r="A87">
        <v>33</v>
      </c>
      <c r="C87">
        <v>1676594</v>
      </c>
      <c r="D87" t="s">
        <v>224</v>
      </c>
      <c r="E87">
        <v>2010</v>
      </c>
    </row>
    <row r="88" spans="1:13" x14ac:dyDescent="0.2">
      <c r="A88">
        <v>33.5</v>
      </c>
      <c r="C88">
        <v>1675373</v>
      </c>
      <c r="D88" t="s">
        <v>225</v>
      </c>
      <c r="E88">
        <v>2010</v>
      </c>
    </row>
    <row r="89" spans="1:13" x14ac:dyDescent="0.2">
      <c r="A89">
        <v>33.5</v>
      </c>
      <c r="C89">
        <v>1675381</v>
      </c>
      <c r="D89" t="s">
        <v>226</v>
      </c>
      <c r="E89">
        <v>2010</v>
      </c>
    </row>
    <row r="90" spans="1:13" x14ac:dyDescent="0.2">
      <c r="A90">
        <v>34</v>
      </c>
      <c r="C90">
        <v>1660287</v>
      </c>
      <c r="D90" t="s">
        <v>227</v>
      </c>
      <c r="E90">
        <v>2010</v>
      </c>
    </row>
    <row r="91" spans="1:13" x14ac:dyDescent="0.2">
      <c r="A91">
        <v>34</v>
      </c>
      <c r="C91">
        <v>1660296</v>
      </c>
      <c r="D91" t="s">
        <v>228</v>
      </c>
      <c r="E91">
        <v>2010</v>
      </c>
    </row>
    <row r="92" spans="1:13" x14ac:dyDescent="0.2">
      <c r="A92">
        <v>35</v>
      </c>
      <c r="C92" s="15">
        <v>469103</v>
      </c>
      <c r="D92" t="s">
        <v>229</v>
      </c>
      <c r="E92">
        <v>2008</v>
      </c>
    </row>
    <row r="93" spans="1:13" x14ac:dyDescent="0.2">
      <c r="A93">
        <v>35</v>
      </c>
      <c r="C93" s="15">
        <v>469143</v>
      </c>
      <c r="D93" t="s">
        <v>230</v>
      </c>
      <c r="E93">
        <v>2012</v>
      </c>
    </row>
    <row r="94" spans="1:13" x14ac:dyDescent="0.2">
      <c r="A94">
        <v>35</v>
      </c>
      <c r="C94" s="15">
        <v>1669580</v>
      </c>
      <c r="D94" t="s">
        <v>231</v>
      </c>
      <c r="E94">
        <v>2013</v>
      </c>
    </row>
    <row r="95" spans="1:13" x14ac:dyDescent="0.2">
      <c r="A95">
        <v>36</v>
      </c>
      <c r="C95">
        <v>1655769</v>
      </c>
      <c r="D95" t="s">
        <v>232</v>
      </c>
      <c r="E95">
        <v>2012</v>
      </c>
    </row>
    <row r="96" spans="1:13" x14ac:dyDescent="0.2">
      <c r="A96">
        <v>36</v>
      </c>
      <c r="C96" s="15">
        <v>469140</v>
      </c>
      <c r="D96" t="s">
        <v>233</v>
      </c>
      <c r="E96">
        <v>2012</v>
      </c>
    </row>
    <row r="97" spans="1:5" x14ac:dyDescent="0.2">
      <c r="A97">
        <v>37</v>
      </c>
      <c r="C97" s="2">
        <v>2291983</v>
      </c>
      <c r="E97">
        <v>1959</v>
      </c>
    </row>
    <row r="98" spans="1:5" x14ac:dyDescent="0.2">
      <c r="A98">
        <v>37</v>
      </c>
      <c r="C98" s="2">
        <v>2465925</v>
      </c>
      <c r="E98">
        <v>1959</v>
      </c>
    </row>
    <row r="99" spans="1:5" x14ac:dyDescent="0.2">
      <c r="A99">
        <v>38</v>
      </c>
      <c r="C99" s="2">
        <v>2300919</v>
      </c>
      <c r="E99">
        <v>1907</v>
      </c>
    </row>
    <row r="100" spans="1:5" x14ac:dyDescent="0.2">
      <c r="A100">
        <v>38</v>
      </c>
      <c r="C100" s="2">
        <v>2316473</v>
      </c>
      <c r="E100">
        <v>1907</v>
      </c>
    </row>
    <row r="101" spans="1:5" x14ac:dyDescent="0.2">
      <c r="A101">
        <v>38</v>
      </c>
      <c r="C101" s="2">
        <v>2336172</v>
      </c>
      <c r="E101">
        <v>1907</v>
      </c>
    </row>
    <row r="102" spans="1:5" x14ac:dyDescent="0.2">
      <c r="A102">
        <v>39</v>
      </c>
      <c r="C102">
        <v>2340225</v>
      </c>
      <c r="E102">
        <v>1907</v>
      </c>
    </row>
    <row r="103" spans="1:5" x14ac:dyDescent="0.2">
      <c r="A103">
        <v>39</v>
      </c>
      <c r="C103">
        <v>2390205</v>
      </c>
      <c r="E103">
        <v>1907</v>
      </c>
    </row>
    <row r="104" spans="1:5" x14ac:dyDescent="0.2">
      <c r="A104">
        <v>39</v>
      </c>
      <c r="C104">
        <v>2465901</v>
      </c>
      <c r="E104">
        <v>1907</v>
      </c>
    </row>
    <row r="105" spans="1:5" x14ac:dyDescent="0.2">
      <c r="A105">
        <v>40</v>
      </c>
      <c r="C105">
        <v>2286003</v>
      </c>
      <c r="E105">
        <v>1910</v>
      </c>
    </row>
    <row r="106" spans="1:5" x14ac:dyDescent="0.2">
      <c r="A106">
        <v>40</v>
      </c>
      <c r="C106">
        <v>2294495</v>
      </c>
      <c r="E106">
        <v>1910</v>
      </c>
    </row>
    <row r="107" spans="1:5" x14ac:dyDescent="0.2">
      <c r="A107">
        <v>40</v>
      </c>
      <c r="C107">
        <v>2328808</v>
      </c>
      <c r="E107">
        <v>1910</v>
      </c>
    </row>
    <row r="108" spans="1:5" x14ac:dyDescent="0.2">
      <c r="A108">
        <v>41</v>
      </c>
      <c r="C108" s="2">
        <v>2312024</v>
      </c>
      <c r="E108">
        <v>1914</v>
      </c>
    </row>
    <row r="109" spans="1:5" x14ac:dyDescent="0.2">
      <c r="A109">
        <v>41</v>
      </c>
      <c r="C109" s="2">
        <v>2465731</v>
      </c>
      <c r="E109">
        <v>1914</v>
      </c>
    </row>
    <row r="110" spans="1:5" x14ac:dyDescent="0.2">
      <c r="A110">
        <v>42</v>
      </c>
      <c r="C110">
        <v>2317066</v>
      </c>
      <c r="E110">
        <v>1921</v>
      </c>
    </row>
    <row r="111" spans="1:5" x14ac:dyDescent="0.2">
      <c r="A111">
        <v>42</v>
      </c>
      <c r="C111">
        <v>2322547</v>
      </c>
      <c r="E111">
        <v>1921</v>
      </c>
    </row>
    <row r="112" spans="1:5" x14ac:dyDescent="0.2">
      <c r="A112">
        <v>42</v>
      </c>
      <c r="C112">
        <v>2352540</v>
      </c>
      <c r="E112">
        <v>1921</v>
      </c>
    </row>
    <row r="113" spans="1:5" x14ac:dyDescent="0.2">
      <c r="A113">
        <v>42</v>
      </c>
      <c r="C113">
        <v>2366181</v>
      </c>
      <c r="E113">
        <v>1921</v>
      </c>
    </row>
    <row r="114" spans="1:5" x14ac:dyDescent="0.2">
      <c r="A114">
        <v>42</v>
      </c>
      <c r="C114">
        <v>2388593</v>
      </c>
      <c r="E114">
        <v>1921</v>
      </c>
    </row>
    <row r="115" spans="1:5" x14ac:dyDescent="0.2">
      <c r="A115">
        <v>42</v>
      </c>
      <c r="C115">
        <v>2422481</v>
      </c>
      <c r="E115">
        <v>1921</v>
      </c>
    </row>
    <row r="116" spans="1:5" x14ac:dyDescent="0.2">
      <c r="A116">
        <v>42</v>
      </c>
      <c r="C116">
        <v>2446817</v>
      </c>
      <c r="E116">
        <v>1921</v>
      </c>
    </row>
    <row r="117" spans="1:5" x14ac:dyDescent="0.2">
      <c r="A117">
        <v>43</v>
      </c>
      <c r="C117">
        <v>2771952</v>
      </c>
      <c r="E117">
        <v>1937</v>
      </c>
    </row>
    <row r="118" spans="1:5" x14ac:dyDescent="0.2">
      <c r="A118">
        <v>43</v>
      </c>
      <c r="C118">
        <v>2771954</v>
      </c>
      <c r="E118">
        <v>1937</v>
      </c>
    </row>
    <row r="119" spans="1:5" x14ac:dyDescent="0.2">
      <c r="A119">
        <v>44</v>
      </c>
      <c r="C119">
        <v>2772139</v>
      </c>
      <c r="E119">
        <v>1937</v>
      </c>
    </row>
    <row r="120" spans="1:5" x14ac:dyDescent="0.2">
      <c r="A120">
        <v>44</v>
      </c>
      <c r="C120">
        <v>2773470</v>
      </c>
      <c r="E120">
        <v>1937</v>
      </c>
    </row>
    <row r="121" spans="1:5" x14ac:dyDescent="0.2">
      <c r="A121">
        <v>45</v>
      </c>
      <c r="C121">
        <v>2772132</v>
      </c>
      <c r="E121">
        <v>1937</v>
      </c>
    </row>
    <row r="122" spans="1:5" x14ac:dyDescent="0.2">
      <c r="A122">
        <v>45</v>
      </c>
      <c r="C122">
        <v>2772133</v>
      </c>
      <c r="E122">
        <v>1937</v>
      </c>
    </row>
    <row r="123" spans="1:5" x14ac:dyDescent="0.2">
      <c r="A123">
        <v>46</v>
      </c>
      <c r="C123">
        <v>2299319</v>
      </c>
      <c r="E123">
        <v>1943</v>
      </c>
    </row>
    <row r="124" spans="1:5" x14ac:dyDescent="0.2">
      <c r="A124">
        <v>46</v>
      </c>
      <c r="C124">
        <v>2423815</v>
      </c>
      <c r="E124">
        <v>1943</v>
      </c>
    </row>
    <row r="125" spans="1:5" x14ac:dyDescent="0.2">
      <c r="A125">
        <v>47</v>
      </c>
      <c r="C125">
        <v>2270810</v>
      </c>
      <c r="E125">
        <v>1950</v>
      </c>
    </row>
    <row r="126" spans="1:5" x14ac:dyDescent="0.2">
      <c r="A126">
        <v>47</v>
      </c>
      <c r="C126">
        <v>2385707</v>
      </c>
      <c r="E126">
        <v>1950</v>
      </c>
    </row>
    <row r="127" spans="1:5" x14ac:dyDescent="0.2">
      <c r="A127">
        <v>47</v>
      </c>
      <c r="C127">
        <v>2446523</v>
      </c>
      <c r="E127">
        <v>1950</v>
      </c>
    </row>
    <row r="128" spans="1:5" x14ac:dyDescent="0.2">
      <c r="A128">
        <v>48</v>
      </c>
      <c r="C128">
        <v>2282381</v>
      </c>
      <c r="E128">
        <v>1954</v>
      </c>
    </row>
    <row r="129" spans="1:5" x14ac:dyDescent="0.2">
      <c r="A129">
        <v>48</v>
      </c>
      <c r="C129">
        <v>2380407</v>
      </c>
      <c r="E129">
        <v>1954</v>
      </c>
    </row>
    <row r="130" spans="1:5" x14ac:dyDescent="0.2">
      <c r="A130">
        <v>48</v>
      </c>
      <c r="C130">
        <v>2460390</v>
      </c>
      <c r="E130">
        <v>1954</v>
      </c>
    </row>
    <row r="131" spans="1:5" x14ac:dyDescent="0.2">
      <c r="A131">
        <v>49</v>
      </c>
      <c r="C131">
        <v>2283407</v>
      </c>
      <c r="E131">
        <v>1955</v>
      </c>
    </row>
    <row r="132" spans="1:5" x14ac:dyDescent="0.2">
      <c r="A132">
        <v>49</v>
      </c>
      <c r="C132">
        <v>2355525</v>
      </c>
      <c r="E132">
        <v>1955</v>
      </c>
    </row>
    <row r="133" spans="1:5" x14ac:dyDescent="0.2">
      <c r="A133">
        <v>50</v>
      </c>
      <c r="C133">
        <v>2287008</v>
      </c>
      <c r="E133">
        <v>1956</v>
      </c>
    </row>
    <row r="134" spans="1:5" x14ac:dyDescent="0.2">
      <c r="A134">
        <v>50</v>
      </c>
      <c r="C134">
        <v>2437632</v>
      </c>
      <c r="E134">
        <v>1956</v>
      </c>
    </row>
    <row r="135" spans="1:5" x14ac:dyDescent="0.2">
      <c r="A135">
        <v>51</v>
      </c>
      <c r="C135">
        <v>2332340</v>
      </c>
      <c r="E135">
        <v>1957</v>
      </c>
    </row>
    <row r="136" spans="1:5" x14ac:dyDescent="0.2">
      <c r="A136">
        <v>51</v>
      </c>
      <c r="C136">
        <v>2393200</v>
      </c>
      <c r="E136">
        <v>1957</v>
      </c>
    </row>
  </sheetData>
  <conditionalFormatting sqref="C1:C72 C74:C83 C102:C107 C110:C1048576">
    <cfRule type="duplicateValues" dxfId="24" priority="27"/>
    <cfRule type="duplicateValues" dxfId="23" priority="26"/>
  </conditionalFormatting>
  <conditionalFormatting sqref="C53">
    <cfRule type="duplicateValues" dxfId="22" priority="25"/>
    <cfRule type="duplicateValues" dxfId="21" priority="24"/>
    <cfRule type="duplicateValues" dxfId="20" priority="23"/>
  </conditionalFormatting>
  <conditionalFormatting sqref="C57">
    <cfRule type="duplicateValues" dxfId="19" priority="22"/>
    <cfRule type="duplicateValues" dxfId="18" priority="21"/>
    <cfRule type="duplicateValues" dxfId="17" priority="20"/>
  </conditionalFormatting>
  <conditionalFormatting sqref="C62">
    <cfRule type="duplicateValues" dxfId="16" priority="19"/>
    <cfRule type="duplicateValues" dxfId="15" priority="18"/>
    <cfRule type="duplicateValues" dxfId="14" priority="17"/>
  </conditionalFormatting>
  <conditionalFormatting sqref="C64">
    <cfRule type="duplicateValues" dxfId="13" priority="15"/>
    <cfRule type="duplicateValues" dxfId="12" priority="14"/>
    <cfRule type="duplicateValues" dxfId="11" priority="16"/>
  </conditionalFormatting>
  <conditionalFormatting sqref="C66">
    <cfRule type="duplicateValues" dxfId="10" priority="13"/>
    <cfRule type="duplicateValues" dxfId="9" priority="12"/>
    <cfRule type="duplicateValues" dxfId="8" priority="11"/>
  </conditionalFormatting>
  <conditionalFormatting sqref="C67">
    <cfRule type="duplicateValues" dxfId="7" priority="10"/>
    <cfRule type="duplicateValues" dxfId="6" priority="9"/>
    <cfRule type="duplicateValues" dxfId="5" priority="8"/>
  </conditionalFormatting>
  <conditionalFormatting sqref="C82">
    <cfRule type="duplicateValues" dxfId="4" priority="7"/>
  </conditionalFormatting>
  <conditionalFormatting sqref="C84">
    <cfRule type="duplicateValues" dxfId="3" priority="4"/>
  </conditionalFormatting>
  <conditionalFormatting sqref="C86:C87">
    <cfRule type="duplicateValues" dxfId="2" priority="3"/>
  </conditionalFormatting>
  <conditionalFormatting sqref="C90:C91">
    <cfRule type="duplicateValues" dxfId="1" priority="2"/>
  </conditionalFormatting>
  <conditionalFormatting sqref="C9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DF31-A465-074E-A46E-208AD0DB9640}">
  <dimension ref="A1:O50"/>
  <sheetViews>
    <sheetView workbookViewId="0">
      <selection activeCell="A12" sqref="A12:O50"/>
    </sheetView>
  </sheetViews>
  <sheetFormatPr baseColWidth="10" defaultRowHeight="16" x14ac:dyDescent="0.2"/>
  <cols>
    <col min="3" max="3" width="11.83203125" bestFit="1" customWidth="1"/>
  </cols>
  <sheetData>
    <row r="1" spans="1:15" x14ac:dyDescent="0.2">
      <c r="A1" t="s">
        <v>51</v>
      </c>
    </row>
    <row r="2" spans="1:15" x14ac:dyDescent="0.2">
      <c r="A2" t="s">
        <v>52</v>
      </c>
    </row>
    <row r="12" spans="1:15" x14ac:dyDescent="0.2">
      <c r="A12" t="s">
        <v>37</v>
      </c>
      <c r="B12">
        <v>202449</v>
      </c>
      <c r="C12" t="s">
        <v>24</v>
      </c>
      <c r="D12">
        <v>2001</v>
      </c>
      <c r="E12">
        <v>10.3</v>
      </c>
      <c r="F12" t="s">
        <v>16</v>
      </c>
      <c r="G12" t="s">
        <v>53</v>
      </c>
      <c r="H12">
        <v>1.86</v>
      </c>
      <c r="I12">
        <v>6.1</v>
      </c>
      <c r="J12">
        <v>1.45</v>
      </c>
      <c r="K12">
        <v>-5.75</v>
      </c>
      <c r="L12" t="s">
        <v>91</v>
      </c>
      <c r="O12">
        <f>SUM(H12:H13)</f>
        <v>7.5900000000000007</v>
      </c>
    </row>
    <row r="13" spans="1:15" x14ac:dyDescent="0.2">
      <c r="A13" t="s">
        <v>75</v>
      </c>
      <c r="B13">
        <v>202449</v>
      </c>
      <c r="C13" t="s">
        <v>24</v>
      </c>
      <c r="D13">
        <v>2001</v>
      </c>
      <c r="E13">
        <v>4.5999999999999996</v>
      </c>
      <c r="F13" t="s">
        <v>104</v>
      </c>
      <c r="G13" s="1" t="s">
        <v>107</v>
      </c>
      <c r="H13">
        <v>5.73</v>
      </c>
      <c r="I13">
        <v>30.3</v>
      </c>
      <c r="J13">
        <v>1.97</v>
      </c>
      <c r="K13">
        <v>-6.54</v>
      </c>
      <c r="L13" t="s">
        <v>128</v>
      </c>
    </row>
    <row r="14" spans="1:15" x14ac:dyDescent="0.2">
      <c r="G14" s="1"/>
    </row>
    <row r="15" spans="1:15" x14ac:dyDescent="0.2">
      <c r="A15" t="s">
        <v>44</v>
      </c>
      <c r="B15">
        <v>216778</v>
      </c>
      <c r="C15" t="s">
        <v>31</v>
      </c>
      <c r="D15">
        <v>2016</v>
      </c>
      <c r="E15">
        <v>14.1</v>
      </c>
      <c r="F15" t="s">
        <v>16</v>
      </c>
      <c r="G15" s="1" t="s">
        <v>59</v>
      </c>
      <c r="H15">
        <v>8.32</v>
      </c>
      <c r="I15">
        <v>9.9</v>
      </c>
      <c r="J15">
        <v>1.65</v>
      </c>
      <c r="K15">
        <v>-0.7</v>
      </c>
      <c r="L15" t="s">
        <v>96</v>
      </c>
      <c r="O15">
        <f>SUM(H15:H16)</f>
        <v>13.22</v>
      </c>
    </row>
    <row r="16" spans="1:15" x14ac:dyDescent="0.2">
      <c r="A16" t="s">
        <v>82</v>
      </c>
      <c r="B16">
        <v>216778</v>
      </c>
      <c r="C16" t="s">
        <v>31</v>
      </c>
      <c r="D16">
        <v>2016</v>
      </c>
      <c r="E16">
        <v>5.4</v>
      </c>
      <c r="F16" t="s">
        <v>104</v>
      </c>
      <c r="G16" s="1" t="s">
        <v>109</v>
      </c>
      <c r="H16">
        <v>4.9000000000000004</v>
      </c>
      <c r="I16">
        <v>10.8</v>
      </c>
      <c r="J16">
        <v>1.65</v>
      </c>
      <c r="K16">
        <v>-1</v>
      </c>
      <c r="L16" t="s">
        <v>135</v>
      </c>
    </row>
    <row r="17" spans="1:15" x14ac:dyDescent="0.2">
      <c r="G17" s="1"/>
    </row>
    <row r="18" spans="1:15" x14ac:dyDescent="0.2">
      <c r="A18" s="10" t="s">
        <v>45</v>
      </c>
      <c r="B18" s="10">
        <v>215180</v>
      </c>
      <c r="C18" s="10" t="s">
        <v>32</v>
      </c>
      <c r="D18" s="10">
        <v>2017</v>
      </c>
      <c r="E18" s="10">
        <v>9.3000000000000007</v>
      </c>
      <c r="F18" s="10" t="s">
        <v>16</v>
      </c>
      <c r="G18" s="11" t="s">
        <v>60</v>
      </c>
      <c r="H18" s="10">
        <v>27.7</v>
      </c>
      <c r="I18" s="10">
        <v>38.200000000000003</v>
      </c>
      <c r="J18" s="10">
        <v>1.8</v>
      </c>
      <c r="K18" s="10">
        <v>3.72</v>
      </c>
      <c r="L18" s="10" t="s">
        <v>98</v>
      </c>
      <c r="M18" s="10"/>
      <c r="N18" s="10"/>
      <c r="O18">
        <f>SUM(H18:H19)</f>
        <v>28.006999999999998</v>
      </c>
    </row>
    <row r="19" spans="1:15" ht="19" x14ac:dyDescent="0.25">
      <c r="A19" t="s">
        <v>83</v>
      </c>
      <c r="B19">
        <v>215180</v>
      </c>
      <c r="C19" t="s">
        <v>32</v>
      </c>
      <c r="D19">
        <v>2017</v>
      </c>
      <c r="E19">
        <v>4.2</v>
      </c>
      <c r="F19" t="s">
        <v>104</v>
      </c>
      <c r="G19" s="1" t="s">
        <v>105</v>
      </c>
      <c r="H19">
        <v>0.307</v>
      </c>
      <c r="I19" s="3">
        <v>0.8</v>
      </c>
      <c r="J19">
        <v>-5.92</v>
      </c>
      <c r="K19">
        <v>0.04</v>
      </c>
      <c r="L19" t="s">
        <v>136</v>
      </c>
    </row>
    <row r="20" spans="1:15" ht="19" x14ac:dyDescent="0.25">
      <c r="G20" s="1"/>
      <c r="I20" s="3"/>
    </row>
    <row r="21" spans="1:15" x14ac:dyDescent="0.2">
      <c r="A21" s="10" t="s">
        <v>40</v>
      </c>
      <c r="B21" s="10">
        <v>202480</v>
      </c>
      <c r="C21" s="10" t="s">
        <v>27</v>
      </c>
      <c r="D21" s="10">
        <v>2004</v>
      </c>
      <c r="E21" s="10">
        <v>3.6</v>
      </c>
      <c r="F21" s="10" t="s">
        <v>16</v>
      </c>
      <c r="G21" s="11" t="s">
        <v>55</v>
      </c>
      <c r="H21" s="10">
        <v>7</v>
      </c>
      <c r="I21" s="10">
        <v>15.1</v>
      </c>
      <c r="J21" s="10">
        <v>1.78</v>
      </c>
      <c r="K21" s="10">
        <v>4.21</v>
      </c>
      <c r="L21" s="10" t="s">
        <v>94</v>
      </c>
      <c r="O21">
        <f>SUM(H21:H22)</f>
        <v>7.819</v>
      </c>
    </row>
    <row r="22" spans="1:15" x14ac:dyDescent="0.2">
      <c r="A22" t="s">
        <v>78</v>
      </c>
      <c r="B22">
        <v>202480</v>
      </c>
      <c r="C22" t="s">
        <v>27</v>
      </c>
      <c r="D22">
        <v>2004</v>
      </c>
      <c r="E22">
        <v>3.4</v>
      </c>
      <c r="F22" t="s">
        <v>104</v>
      </c>
      <c r="G22" s="1" t="s">
        <v>108</v>
      </c>
      <c r="H22">
        <v>0.81899999999999995</v>
      </c>
      <c r="I22">
        <v>6.4</v>
      </c>
      <c r="J22">
        <v>1.94</v>
      </c>
      <c r="K22">
        <v>-0.42</v>
      </c>
      <c r="L22" t="s">
        <v>131</v>
      </c>
    </row>
    <row r="23" spans="1:15" x14ac:dyDescent="0.2">
      <c r="G23" s="1"/>
    </row>
    <row r="24" spans="1:15" x14ac:dyDescent="0.2">
      <c r="A24" s="8" t="s">
        <v>48</v>
      </c>
      <c r="B24" s="8">
        <v>3630484</v>
      </c>
      <c r="C24" s="8" t="s">
        <v>35</v>
      </c>
      <c r="D24" s="8">
        <v>2019</v>
      </c>
      <c r="E24" s="8">
        <v>13.3</v>
      </c>
      <c r="F24" s="8" t="s">
        <v>16</v>
      </c>
      <c r="G24" s="9" t="s">
        <v>63</v>
      </c>
      <c r="H24" s="8" t="s">
        <v>89</v>
      </c>
      <c r="I24" s="8" t="s">
        <v>89</v>
      </c>
      <c r="J24" s="8" t="s">
        <v>89</v>
      </c>
      <c r="K24" s="8" t="s">
        <v>89</v>
      </c>
      <c r="L24" s="8" t="s">
        <v>89</v>
      </c>
      <c r="M24" s="8"/>
      <c r="N24" s="8"/>
      <c r="O24" s="8"/>
    </row>
    <row r="25" spans="1:15" x14ac:dyDescent="0.2">
      <c r="A25" s="8" t="s">
        <v>65</v>
      </c>
      <c r="B25" s="8">
        <v>3630484</v>
      </c>
      <c r="C25" s="8" t="s">
        <v>35</v>
      </c>
      <c r="D25" s="8">
        <v>2019</v>
      </c>
      <c r="E25" s="8">
        <v>3.6</v>
      </c>
      <c r="F25" s="8" t="s">
        <v>16</v>
      </c>
      <c r="G25" s="9" t="s">
        <v>99</v>
      </c>
      <c r="H25" s="8">
        <v>0.68200000000000005</v>
      </c>
      <c r="I25" s="8">
        <v>5.6</v>
      </c>
      <c r="J25" s="8">
        <v>1.36</v>
      </c>
      <c r="K25" s="8">
        <v>1.39</v>
      </c>
      <c r="L25" s="8" t="s">
        <v>90</v>
      </c>
      <c r="M25" s="8"/>
      <c r="N25" s="8"/>
      <c r="O25" s="8">
        <f>SUM(H25:H26)</f>
        <v>1.0790000000000002</v>
      </c>
    </row>
    <row r="26" spans="1:15" x14ac:dyDescent="0.2">
      <c r="A26" s="8" t="s">
        <v>86</v>
      </c>
      <c r="B26" s="8">
        <v>3630484</v>
      </c>
      <c r="C26" s="8" t="s">
        <v>35</v>
      </c>
      <c r="D26" s="8">
        <v>2019</v>
      </c>
      <c r="E26" s="8">
        <v>3.3</v>
      </c>
      <c r="F26" s="8" t="s">
        <v>73</v>
      </c>
      <c r="G26" s="9" t="s">
        <v>100</v>
      </c>
      <c r="H26" s="8">
        <v>0.39700000000000002</v>
      </c>
      <c r="I26" s="8">
        <v>3.6</v>
      </c>
      <c r="J26" s="8">
        <v>2.61</v>
      </c>
      <c r="K26" s="8">
        <v>-0.32</v>
      </c>
      <c r="L26" s="8" t="s">
        <v>138</v>
      </c>
      <c r="M26" s="8"/>
      <c r="N26" s="8"/>
      <c r="O26" s="8"/>
    </row>
    <row r="27" spans="1:15" x14ac:dyDescent="0.2">
      <c r="G27" s="1"/>
    </row>
    <row r="28" spans="1:15" x14ac:dyDescent="0.2">
      <c r="A28" t="s">
        <v>49</v>
      </c>
      <c r="B28">
        <v>5752868</v>
      </c>
      <c r="C28" t="s">
        <v>36</v>
      </c>
      <c r="D28">
        <v>2022</v>
      </c>
      <c r="E28">
        <v>6.1</v>
      </c>
      <c r="F28" t="s">
        <v>16</v>
      </c>
      <c r="G28" s="1" t="s">
        <v>64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O28">
        <f>SUM(H28:H29)</f>
        <v>6.04</v>
      </c>
    </row>
    <row r="29" spans="1:15" x14ac:dyDescent="0.2">
      <c r="A29" s="11" t="s">
        <v>66</v>
      </c>
      <c r="B29" s="10">
        <v>5752868</v>
      </c>
      <c r="C29" s="11" t="s">
        <v>36</v>
      </c>
      <c r="D29" s="11">
        <v>2022</v>
      </c>
      <c r="E29" s="11">
        <v>2</v>
      </c>
      <c r="F29" s="11" t="s">
        <v>104</v>
      </c>
      <c r="G29" s="10" t="s">
        <v>99</v>
      </c>
      <c r="H29" s="10">
        <v>6.04</v>
      </c>
      <c r="I29" s="10">
        <v>6.6</v>
      </c>
      <c r="J29" s="10">
        <v>1.7</v>
      </c>
      <c r="K29" s="10">
        <v>-4.0599999999999996</v>
      </c>
      <c r="L29" s="10" t="s">
        <v>127</v>
      </c>
    </row>
    <row r="31" spans="1:15" x14ac:dyDescent="0.2">
      <c r="A31" t="s">
        <v>38</v>
      </c>
      <c r="B31">
        <v>293450</v>
      </c>
      <c r="C31" t="s">
        <v>25</v>
      </c>
      <c r="D31">
        <v>2001</v>
      </c>
      <c r="E31">
        <v>2.1</v>
      </c>
      <c r="F31" t="s">
        <v>16</v>
      </c>
      <c r="G31" t="s">
        <v>50</v>
      </c>
      <c r="H31">
        <v>0.64800000000000002</v>
      </c>
      <c r="I31">
        <v>4.5</v>
      </c>
      <c r="J31">
        <v>1.35</v>
      </c>
      <c r="K31">
        <v>1.03</v>
      </c>
      <c r="L31" t="s">
        <v>92</v>
      </c>
      <c r="O31">
        <f>SUM(H31:H32)</f>
        <v>7.3479999999999999</v>
      </c>
    </row>
    <row r="32" spans="1:15" x14ac:dyDescent="0.2">
      <c r="A32" s="12" t="s">
        <v>76</v>
      </c>
      <c r="B32" s="12">
        <v>293450</v>
      </c>
      <c r="C32" s="12" t="s">
        <v>25</v>
      </c>
      <c r="D32" s="12">
        <v>2001</v>
      </c>
      <c r="E32" s="12">
        <v>5</v>
      </c>
      <c r="F32" s="12" t="s">
        <v>16</v>
      </c>
      <c r="G32" s="10" t="s">
        <v>102</v>
      </c>
      <c r="H32" s="10">
        <v>6.7</v>
      </c>
      <c r="I32" s="10">
        <v>70.7</v>
      </c>
      <c r="J32" s="10">
        <v>2.12</v>
      </c>
      <c r="K32" s="10">
        <v>6.68</v>
      </c>
      <c r="L32" s="10" t="s">
        <v>129</v>
      </c>
    </row>
    <row r="34" spans="1:15" x14ac:dyDescent="0.2">
      <c r="A34" s="6" t="s">
        <v>42</v>
      </c>
      <c r="B34" s="6">
        <v>292533</v>
      </c>
      <c r="C34" s="6" t="s">
        <v>29</v>
      </c>
      <c r="D34" s="6">
        <v>2007</v>
      </c>
      <c r="E34" s="6">
        <v>12.3</v>
      </c>
      <c r="F34" s="6" t="s">
        <v>16</v>
      </c>
      <c r="G34" s="6" t="s">
        <v>57</v>
      </c>
      <c r="H34" s="6">
        <v>0.34599999999999997</v>
      </c>
      <c r="I34" s="6">
        <v>2.2999999999999998</v>
      </c>
      <c r="J34" s="6">
        <v>1.19</v>
      </c>
      <c r="K34" s="6">
        <v>-1.04</v>
      </c>
      <c r="L34" s="6" t="s">
        <v>96</v>
      </c>
      <c r="M34" s="6"/>
      <c r="N34" s="6"/>
      <c r="O34" s="6">
        <f>SUM(H34:H35)</f>
        <v>0.34599999999999997</v>
      </c>
    </row>
    <row r="35" spans="1:15" x14ac:dyDescent="0.2">
      <c r="A35" s="6" t="s">
        <v>80</v>
      </c>
      <c r="B35" s="6">
        <v>292533</v>
      </c>
      <c r="C35" s="6" t="s">
        <v>29</v>
      </c>
      <c r="D35" s="6">
        <v>2007</v>
      </c>
      <c r="E35" s="6">
        <v>0.2</v>
      </c>
      <c r="F35" s="6" t="s">
        <v>16</v>
      </c>
      <c r="G35" s="6" t="s">
        <v>103</v>
      </c>
      <c r="H35" s="6">
        <v>0</v>
      </c>
      <c r="I35" s="6">
        <v>1.8</v>
      </c>
      <c r="J35" s="6">
        <v>7.94</v>
      </c>
      <c r="K35" s="6">
        <v>-0.15</v>
      </c>
      <c r="L35" s="6" t="s">
        <v>133</v>
      </c>
      <c r="M35" s="6"/>
      <c r="N35" s="6"/>
      <c r="O35" s="6"/>
    </row>
    <row r="37" spans="1:15" x14ac:dyDescent="0.2">
      <c r="A37" t="s">
        <v>39</v>
      </c>
      <c r="B37">
        <v>330069</v>
      </c>
      <c r="C37" t="s">
        <v>26</v>
      </c>
      <c r="D37">
        <v>2002</v>
      </c>
      <c r="E37">
        <v>9.5</v>
      </c>
      <c r="F37" t="s">
        <v>16</v>
      </c>
      <c r="G37" t="s">
        <v>54</v>
      </c>
      <c r="H37">
        <v>0.878</v>
      </c>
      <c r="I37">
        <v>6.3</v>
      </c>
      <c r="J37">
        <v>1.46</v>
      </c>
      <c r="K37">
        <v>0.73</v>
      </c>
      <c r="L37" t="s">
        <v>93</v>
      </c>
      <c r="O37">
        <f>SUM(H37:H38)</f>
        <v>2.9980000000000002</v>
      </c>
    </row>
    <row r="38" spans="1:15" x14ac:dyDescent="0.2">
      <c r="A38" s="10" t="s">
        <v>77</v>
      </c>
      <c r="B38" s="10">
        <v>330069</v>
      </c>
      <c r="C38" s="10" t="s">
        <v>26</v>
      </c>
      <c r="D38" s="10">
        <v>2002</v>
      </c>
      <c r="E38" s="10">
        <v>5.7</v>
      </c>
      <c r="F38" s="10" t="s">
        <v>104</v>
      </c>
      <c r="G38" s="10" t="s">
        <v>110</v>
      </c>
      <c r="H38" s="10">
        <v>2.12</v>
      </c>
      <c r="I38" s="10">
        <v>37.1</v>
      </c>
      <c r="J38" s="10">
        <v>2.0499999999999998</v>
      </c>
      <c r="K38" s="10">
        <v>-19.59</v>
      </c>
      <c r="L38" s="10" t="s">
        <v>130</v>
      </c>
      <c r="M38" s="10"/>
      <c r="N38" s="10"/>
      <c r="O38" s="10"/>
    </row>
    <row r="40" spans="1:15" x14ac:dyDescent="0.2">
      <c r="A40" t="s">
        <v>43</v>
      </c>
      <c r="B40">
        <v>1895626</v>
      </c>
      <c r="C40" t="s">
        <v>30</v>
      </c>
      <c r="D40">
        <v>2009</v>
      </c>
      <c r="E40">
        <v>14.9</v>
      </c>
      <c r="F40" t="s">
        <v>16</v>
      </c>
      <c r="G40" t="s">
        <v>58</v>
      </c>
      <c r="H40">
        <v>0.378</v>
      </c>
      <c r="I40">
        <v>2.2999999999999998</v>
      </c>
      <c r="J40">
        <v>1.84</v>
      </c>
      <c r="K40">
        <v>-0.54</v>
      </c>
      <c r="L40" t="s">
        <v>96</v>
      </c>
      <c r="O40">
        <f>SUM(H40:H41)</f>
        <v>11.978</v>
      </c>
    </row>
    <row r="41" spans="1:15" x14ac:dyDescent="0.2">
      <c r="A41" s="10" t="s">
        <v>81</v>
      </c>
      <c r="B41" s="10">
        <v>1895626</v>
      </c>
      <c r="C41" s="10" t="s">
        <v>30</v>
      </c>
      <c r="D41" s="10">
        <v>2009</v>
      </c>
      <c r="E41" s="10">
        <v>1.2</v>
      </c>
      <c r="F41" s="10" t="s">
        <v>16</v>
      </c>
      <c r="G41" s="10" t="s">
        <v>112</v>
      </c>
      <c r="H41" s="10">
        <v>11.6</v>
      </c>
      <c r="I41" s="10">
        <v>63.3</v>
      </c>
      <c r="J41" s="10">
        <v>2</v>
      </c>
      <c r="K41" s="10">
        <v>2.2599999999999998</v>
      </c>
      <c r="L41" s="10" t="s">
        <v>134</v>
      </c>
    </row>
    <row r="43" spans="1:15" x14ac:dyDescent="0.2">
      <c r="A43" t="s">
        <v>41</v>
      </c>
      <c r="B43">
        <v>1896191</v>
      </c>
      <c r="C43" t="s">
        <v>28</v>
      </c>
      <c r="D43">
        <v>2005</v>
      </c>
      <c r="E43">
        <v>22</v>
      </c>
      <c r="F43" t="s">
        <v>16</v>
      </c>
      <c r="G43" t="s">
        <v>56</v>
      </c>
      <c r="H43">
        <v>0.14799999999999999</v>
      </c>
      <c r="I43">
        <v>-0.5</v>
      </c>
      <c r="J43">
        <v>-1.18</v>
      </c>
      <c r="K43">
        <v>0.08</v>
      </c>
      <c r="L43" t="s">
        <v>95</v>
      </c>
      <c r="O43">
        <f>SUM(H43:H44)</f>
        <v>4.1779999999999999</v>
      </c>
    </row>
    <row r="44" spans="1:15" x14ac:dyDescent="0.2">
      <c r="A44" s="10" t="s">
        <v>79</v>
      </c>
      <c r="B44" s="10">
        <v>1896191</v>
      </c>
      <c r="C44" s="10" t="s">
        <v>28</v>
      </c>
      <c r="D44" s="10">
        <v>2005</v>
      </c>
      <c r="E44" s="10">
        <v>3.1</v>
      </c>
      <c r="F44" s="10" t="s">
        <v>104</v>
      </c>
      <c r="G44" s="10" t="s">
        <v>111</v>
      </c>
      <c r="H44" s="10">
        <v>4.03</v>
      </c>
      <c r="I44" s="10">
        <v>40.700000000000003</v>
      </c>
      <c r="J44" s="10">
        <v>2.09</v>
      </c>
      <c r="K44" s="10">
        <v>-15.97</v>
      </c>
      <c r="L44" s="10" t="s">
        <v>132</v>
      </c>
    </row>
    <row r="46" spans="1:15" x14ac:dyDescent="0.2">
      <c r="A46" s="6" t="s">
        <v>46</v>
      </c>
      <c r="B46" s="6">
        <v>3964300</v>
      </c>
      <c r="C46" s="6" t="s">
        <v>33</v>
      </c>
      <c r="D46" s="6">
        <v>2017</v>
      </c>
      <c r="E46" s="6">
        <v>8.3000000000000007</v>
      </c>
      <c r="F46" s="6" t="s">
        <v>16</v>
      </c>
      <c r="G46" s="6" t="s">
        <v>61</v>
      </c>
      <c r="H46" s="6">
        <v>0.24</v>
      </c>
      <c r="I46" s="6">
        <v>1</v>
      </c>
      <c r="J46" s="6">
        <v>2.0099999999999998</v>
      </c>
      <c r="K46" s="6">
        <v>-0.17</v>
      </c>
      <c r="L46" s="6" t="s">
        <v>97</v>
      </c>
      <c r="M46" s="6"/>
      <c r="N46" s="6"/>
      <c r="O46" s="6">
        <f>SUM(H46:H47)</f>
        <v>0.54200000000000004</v>
      </c>
    </row>
    <row r="47" spans="1:15" ht="19" x14ac:dyDescent="0.25">
      <c r="A47" s="6" t="s">
        <v>84</v>
      </c>
      <c r="B47" s="6">
        <v>3964300</v>
      </c>
      <c r="C47" s="6" t="s">
        <v>33</v>
      </c>
      <c r="D47" s="6">
        <v>2017</v>
      </c>
      <c r="E47" s="6">
        <v>3.1</v>
      </c>
      <c r="F47" s="6" t="s">
        <v>104</v>
      </c>
      <c r="G47" s="6" t="s">
        <v>113</v>
      </c>
      <c r="H47" s="6">
        <v>0.30199999999999999</v>
      </c>
      <c r="I47" s="7">
        <v>5.3</v>
      </c>
      <c r="J47" s="6">
        <v>1.81</v>
      </c>
      <c r="K47" s="6">
        <v>-5.32</v>
      </c>
      <c r="L47" s="6" t="s">
        <v>137</v>
      </c>
      <c r="M47" s="6"/>
      <c r="N47" s="6"/>
      <c r="O47" s="6"/>
    </row>
    <row r="48" spans="1:15" ht="19" x14ac:dyDescent="0.25">
      <c r="I48" s="3"/>
    </row>
    <row r="49" spans="1:15" x14ac:dyDescent="0.2">
      <c r="A49" t="s">
        <v>47</v>
      </c>
      <c r="B49">
        <v>4064867</v>
      </c>
      <c r="C49" t="s">
        <v>34</v>
      </c>
      <c r="D49">
        <v>2017</v>
      </c>
      <c r="E49">
        <v>16.899999999999999</v>
      </c>
      <c r="F49" t="s">
        <v>16</v>
      </c>
      <c r="G49" t="s">
        <v>62</v>
      </c>
      <c r="H49">
        <v>24.7</v>
      </c>
      <c r="I49">
        <v>28.1</v>
      </c>
      <c r="J49">
        <v>1.82</v>
      </c>
      <c r="K49">
        <v>2.36</v>
      </c>
      <c r="L49" t="s">
        <v>98</v>
      </c>
      <c r="O49">
        <f>SUM(H49:H50)</f>
        <v>53.2</v>
      </c>
    </row>
    <row r="50" spans="1:15" x14ac:dyDescent="0.2">
      <c r="A50" s="10" t="s">
        <v>85</v>
      </c>
      <c r="B50" s="10">
        <v>4064867</v>
      </c>
      <c r="C50" s="10" t="s">
        <v>34</v>
      </c>
      <c r="D50" s="10">
        <v>2017</v>
      </c>
      <c r="E50" s="10">
        <v>3.8</v>
      </c>
      <c r="F50" s="10" t="s">
        <v>104</v>
      </c>
      <c r="G50" s="10" t="s">
        <v>106</v>
      </c>
      <c r="H50" s="10">
        <v>28.5</v>
      </c>
      <c r="I50" s="10">
        <v>190.4</v>
      </c>
      <c r="J50" s="10">
        <v>2.15</v>
      </c>
      <c r="K50" s="10">
        <v>3.31</v>
      </c>
      <c r="L50" s="10" t="s">
        <v>134</v>
      </c>
    </row>
  </sheetData>
  <sortState xmlns:xlrd2="http://schemas.microsoft.com/office/spreadsheetml/2017/richdata2" ref="A10:L50">
    <sortCondition ref="C10:C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402E-2219-C84E-88A7-7AC1E9992B16}">
  <dimension ref="A1"/>
  <sheetViews>
    <sheetView workbookViewId="0">
      <selection activeCell="B1" sqref="B1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databse</vt:lpstr>
      <vt:lpstr>Redundncy_tracker</vt:lpstr>
      <vt:lpstr>Sheet2</vt:lpstr>
      <vt:lpstr>Specimen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Harencar</dc:creator>
  <cp:lastModifiedBy>Julia Harencar</cp:lastModifiedBy>
  <dcterms:created xsi:type="dcterms:W3CDTF">2025-03-19T19:09:59Z</dcterms:created>
  <dcterms:modified xsi:type="dcterms:W3CDTF">2025-11-06T19:00:53Z</dcterms:modified>
</cp:coreProperties>
</file>